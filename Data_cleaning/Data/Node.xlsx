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udntnu-my.sharepoint.com/personal/laurapar_ntnu_no/Documents/Desktop/EMpiregenesys/Data_handler_v52/"/>
    </mc:Choice>
  </mc:AlternateContent>
  <xr:revisionPtr revIDLastSave="17" documentId="13_ncr:1_{4C374A21-4259-412D-91A3-1F78263E8FA6}" xr6:coauthVersionLast="47" xr6:coauthVersionMax="47" xr10:uidLastSave="{0D3B15FF-09A2-4830-B5CB-10486D65B9FC}"/>
  <bookViews>
    <workbookView xWindow="-90" yWindow="0" windowWidth="9780" windowHeight="10170" xr2:uid="{00000000-000D-0000-FFFF-FFFF00000000}"/>
  </bookViews>
  <sheets>
    <sheet name="ElectricAnnualDemand" sheetId="8" r:id="rId1"/>
    <sheet name="NodeLostLoadCost" sheetId="2" r:id="rId2"/>
    <sheet name="HydroGenMaxAnnualProduction" sheetId="10" r:id="rId3"/>
  </sheets>
  <definedNames>
    <definedName name="_xlnm._FilterDatabase" localSheetId="0" hidden="1">ElectricAnnualDemand!$A$1:$C$248</definedName>
    <definedName name="genCapAvail">#REF!</definedName>
    <definedName name="genCapAvail2">#REF!</definedName>
    <definedName name="maxRegHdro">#REF!</definedName>
    <definedName name="maxRegHydro">#REF!</definedName>
    <definedName name="maxRegHydroGen">#REF!</definedName>
    <definedName name="nodeLostLoadCost">#REF!</definedName>
    <definedName name="sload">#REF!</definedName>
    <definedName name="sload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3" i="8" l="1"/>
  <c r="L73" i="8"/>
  <c r="L4" i="8"/>
  <c r="L38" i="8"/>
  <c r="L6" i="8"/>
  <c r="L5" i="8"/>
</calcChain>
</file>

<file path=xl/sharedStrings.xml><?xml version="1.0" encoding="utf-8"?>
<sst xmlns="http://schemas.openxmlformats.org/spreadsheetml/2006/main" count="651" uniqueCount="52">
  <si>
    <t>Nodes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</si>
  <si>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</si>
  <si>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</si>
  <si>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</si>
  <si>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</si>
  <si>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</si>
  <si>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</si>
  <si>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</si>
  <si>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</si>
  <si>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</si>
  <si>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</si>
  <si>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</si>
  <si>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</si>
  <si>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</si>
  <si>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</si>
  <si>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</si>
  <si>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</si>
  <si>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</si>
  <si>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</si>
  <si>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</si>
  <si>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</si>
  <si>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</si>
  <si>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</si>
  <si>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</si>
  <si>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</si>
  <si>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</si>
  <si>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</si>
  <si>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</si>
  <si>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</si>
  <si>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</si>
  <si>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</si>
  <si>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Period</t>
  </si>
  <si>
    <t>NO1</t>
  </si>
  <si>
    <t>NO2</t>
  </si>
  <si>
    <t>NO3</t>
  </si>
  <si>
    <t>NO4</t>
  </si>
  <si>
    <t>NO5</t>
  </si>
  <si>
    <t>NodeLostLoadCost</t>
    <phoneticPr fontId="1" type="noConversion"/>
  </si>
  <si>
    <t>ElectricAdjustment in MWh per hour</t>
  </si>
  <si>
    <t>Source: London School of Economics report 'The Value of Lost Load (VoLL) for Electricity in Great Britain' on 16,940 £/MWh (converted to €/MWh by multiplying with a factor 1.3)</t>
  </si>
  <si>
    <t>Description: The cost of not generating electricity in an hour (default: 22 000)</t>
  </si>
  <si>
    <t>Description: Annual demand in nodes used to adjust hourly load profile (such that the integral/sum is equal to the annual demand) (default: 0)</t>
  </si>
  <si>
    <t>HydroGenMaxAnnualProduction in MWh per year</t>
  </si>
  <si>
    <t>Decription: HydroGenerator With Reservoir Maximum Expected Annual Production</t>
  </si>
  <si>
    <t>Source: National Renewable Energy Action Plan (NREAP) from EEA, ENSTO-E, Eurelectric</t>
  </si>
  <si>
    <t>GENeSYS-MOD Gradual Development</t>
  </si>
  <si>
    <t>EU reference scenario 2016</t>
  </si>
  <si>
    <t>EU reference scenario 2020</t>
  </si>
  <si>
    <t>TYNDP22</t>
  </si>
  <si>
    <t>TYNDP24</t>
  </si>
  <si>
    <t>-</t>
  </si>
  <si>
    <t>Source: ENTSO-E TYNDP22 Distributed Energy (220310_Updated_ Norway (langsiktig-kraftmarkedsanalyse-2025, Attachment-LA2025, sheet « Kraftbalanser Norden », category « Forbruk » 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</si>
</sst>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/>
    <xf numFmtId="0" fontId="0" fillId="0" borderId="0" xfId="0" quotePrefix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3AB2-6136-40B5-9679-1192A8EC02E3}">
  <dimension ref="A1:M283"/>
  <sheetViews>
    <sheetView tabSelected="1" topLeftCell="J41" zoomScale="95" workbookViewId="0">
      <selection activeCell="M67" sqref="M67"/>
    </sheetView>
  </sheetViews>
  <sheetFormatPr defaultColWidth="11.453125" defaultRowHeight="14.5"/>
  <cols>
    <col min="1" max="1" width="26.54296875" customWidth="1"/>
    <col min="2" max="2" width="5.81640625" bestFit="1" customWidth="1"/>
    <col min="3" max="3" width="34" bestFit="1" customWidth="1"/>
    <col min="4" max="4" width="21.1796875" bestFit="1" customWidth="1"/>
    <col min="5" max="5" width="12" bestFit="1" customWidth="1"/>
    <col min="6" max="6" width="6.81640625" bestFit="1" customWidth="1"/>
    <col min="7" max="7" width="12.81640625" bestFit="1" customWidth="1"/>
    <col min="8" max="8" width="13.81640625" bestFit="1" customWidth="1"/>
    <col min="9" max="9" width="12.81640625" bestFit="1" customWidth="1"/>
    <col min="10" max="10" width="16.453125" bestFit="1" customWidth="1"/>
    <col min="11" max="11" width="13.1796875" bestFit="1" customWidth="1"/>
    <col min="12" max="13" width="32.1796875" bestFit="1" customWidth="1"/>
    <col min="14" max="14" width="42.1796875" bestFit="1" customWidth="1"/>
    <col min="15" max="15" width="16.453125" bestFit="1" customWidth="1"/>
  </cols>
  <sheetData>
    <row r="1" spans="1:12">
      <c r="A1" t="s">
        <v>51</v>
      </c>
    </row>
    <row r="2" spans="1:12">
      <c r="A2" t="s">
        <v>41</v>
      </c>
    </row>
    <row r="3" spans="1:12" ht="43.5">
      <c r="A3" t="s">
        <v>0</v>
      </c>
      <c r="B3" t="s">
        <v>31</v>
      </c>
      <c r="C3" t="s">
        <v>38</v>
      </c>
      <c r="E3" t="s">
        <v>0</v>
      </c>
      <c r="F3" t="s">
        <v>31</v>
      </c>
      <c r="G3" s="1" t="s">
        <v>46</v>
      </c>
      <c r="H3" s="1" t="s">
        <v>45</v>
      </c>
      <c r="I3" s="1" t="s">
        <v>47</v>
      </c>
      <c r="J3" s="1" t="s">
        <v>48</v>
      </c>
      <c r="K3" s="1" t="s">
        <v>49</v>
      </c>
    </row>
    <row r="4" spans="1:12">
      <c r="A4" t="s">
        <v>3</v>
      </c>
      <c r="B4">
        <v>1</v>
      </c>
      <c r="C4" s="2">
        <v>105386666.6666667</v>
      </c>
      <c r="E4" t="s">
        <v>3</v>
      </c>
      <c r="F4">
        <v>1</v>
      </c>
      <c r="G4" s="2">
        <v>69208495.587680414</v>
      </c>
      <c r="H4" s="2">
        <v>66805237.5117983</v>
      </c>
      <c r="I4" s="2">
        <v>61048018.434429497</v>
      </c>
      <c r="J4" s="2">
        <v>72748213.333333299</v>
      </c>
      <c r="K4" s="3" t="s">
        <v>50</v>
      </c>
      <c r="L4" s="4">
        <f>SUM(C4:C38)</f>
        <v>4455960000</v>
      </c>
    </row>
    <row r="5" spans="1:12">
      <c r="A5" t="s">
        <v>5</v>
      </c>
      <c r="B5">
        <v>1</v>
      </c>
      <c r="C5" s="2">
        <v>99020000.000000015</v>
      </c>
      <c r="E5" t="s">
        <v>5</v>
      </c>
      <c r="F5">
        <v>1</v>
      </c>
      <c r="G5" s="2">
        <v>87183947.751946002</v>
      </c>
      <c r="H5" s="2">
        <v>79644130.465314105</v>
      </c>
      <c r="I5" s="2">
        <v>84700022.825193703</v>
      </c>
      <c r="J5" s="2">
        <v>88647730</v>
      </c>
      <c r="K5" s="3" t="s">
        <v>50</v>
      </c>
      <c r="L5" s="4">
        <f>SUM(C39:C73)</f>
        <v>5649983333.333333</v>
      </c>
    </row>
    <row r="6" spans="1:12">
      <c r="A6" t="s">
        <v>4</v>
      </c>
      <c r="B6">
        <v>1</v>
      </c>
      <c r="C6" s="2">
        <v>13263333.333333341</v>
      </c>
      <c r="E6" t="s">
        <v>4</v>
      </c>
      <c r="F6">
        <v>1</v>
      </c>
      <c r="G6" s="2">
        <v>12747852.69121813</v>
      </c>
      <c r="H6" s="2">
        <v>14730963.3578251</v>
      </c>
      <c r="I6" s="2">
        <v>12273598.811328599</v>
      </c>
      <c r="J6" s="2">
        <v>12453213.3333333</v>
      </c>
      <c r="K6" s="3" t="s">
        <v>50</v>
      </c>
      <c r="L6" s="4">
        <f>SUM(C74:C108)</f>
        <v>6846806666.666667</v>
      </c>
    </row>
    <row r="7" spans="1:12">
      <c r="A7" t="s">
        <v>6</v>
      </c>
      <c r="B7">
        <v>1</v>
      </c>
      <c r="C7" s="2">
        <v>45803333.333333328</v>
      </c>
      <c r="E7" t="s">
        <v>6</v>
      </c>
      <c r="F7">
        <v>1</v>
      </c>
      <c r="G7" s="2">
        <v>30091636.773569833</v>
      </c>
      <c r="H7" s="2">
        <v>45069209.898846798</v>
      </c>
      <c r="I7" s="2">
        <v>30381216.476898599</v>
      </c>
      <c r="J7" s="2">
        <v>33896736.666666597</v>
      </c>
      <c r="K7" s="3" t="s">
        <v>50</v>
      </c>
    </row>
    <row r="8" spans="1:12">
      <c r="A8" t="s">
        <v>15</v>
      </c>
      <c r="B8">
        <v>1</v>
      </c>
      <c r="C8" s="2">
        <v>20570000</v>
      </c>
      <c r="E8" t="s">
        <v>15</v>
      </c>
      <c r="F8">
        <v>1</v>
      </c>
      <c r="G8" s="2">
        <v>16596829.207711726</v>
      </c>
      <c r="H8" s="2">
        <v>12995652.796921</v>
      </c>
      <c r="I8" s="2">
        <v>16471645.245532</v>
      </c>
      <c r="J8" s="2">
        <v>17768643.333333299</v>
      </c>
      <c r="K8" s="3" t="s">
        <v>50</v>
      </c>
    </row>
    <row r="9" spans="1:12">
      <c r="A9" t="s">
        <v>8</v>
      </c>
      <c r="B9">
        <v>1</v>
      </c>
      <c r="C9" s="2">
        <v>85793333.333333358</v>
      </c>
      <c r="E9" t="s">
        <v>8</v>
      </c>
      <c r="F9">
        <v>1</v>
      </c>
      <c r="G9" s="2">
        <v>63202871.913796611</v>
      </c>
      <c r="H9" s="2">
        <v>84733224.107165098</v>
      </c>
      <c r="I9" s="2">
        <v>56973521.188473098</v>
      </c>
      <c r="J9" s="2">
        <v>71397293.333333299</v>
      </c>
      <c r="K9" s="3" t="s">
        <v>50</v>
      </c>
    </row>
    <row r="10" spans="1:12">
      <c r="A10" t="s">
        <v>2</v>
      </c>
      <c r="B10">
        <v>1</v>
      </c>
      <c r="C10" s="2">
        <v>75316666.666666687</v>
      </c>
      <c r="E10" t="s">
        <v>2</v>
      </c>
      <c r="F10">
        <v>1</v>
      </c>
      <c r="G10" s="2">
        <v>34711942.50134293</v>
      </c>
      <c r="H10" s="2">
        <v>30990986.6606142</v>
      </c>
      <c r="I10" s="2">
        <v>38596269.2795114</v>
      </c>
      <c r="J10" s="2">
        <v>43292113.333333299</v>
      </c>
      <c r="K10" s="3" t="s">
        <v>50</v>
      </c>
    </row>
    <row r="11" spans="1:12">
      <c r="A11" t="s">
        <v>9</v>
      </c>
      <c r="B11">
        <v>1</v>
      </c>
      <c r="C11" s="2">
        <v>5176666.6666666679</v>
      </c>
      <c r="E11" t="s">
        <v>9</v>
      </c>
      <c r="F11">
        <v>1</v>
      </c>
      <c r="G11" s="2">
        <v>7952492.033148475</v>
      </c>
      <c r="H11" s="2">
        <v>11941043.7799848</v>
      </c>
      <c r="I11" s="2">
        <v>8172263.6958217202</v>
      </c>
      <c r="J11" s="2">
        <v>8517103.3333333302</v>
      </c>
      <c r="K11" s="3" t="s">
        <v>50</v>
      </c>
    </row>
    <row r="12" spans="1:12">
      <c r="A12" t="s">
        <v>11</v>
      </c>
      <c r="B12">
        <v>1</v>
      </c>
      <c r="C12" s="2">
        <v>140563333.33333331</v>
      </c>
      <c r="E12" t="s">
        <v>11</v>
      </c>
      <c r="F12">
        <v>1</v>
      </c>
      <c r="G12" s="2">
        <v>81619243.258025274</v>
      </c>
      <c r="H12" s="2">
        <v>72669006.972346306</v>
      </c>
      <c r="I12" s="2">
        <v>82752928.869350806</v>
      </c>
      <c r="J12" s="2">
        <v>96265563.333333299</v>
      </c>
      <c r="K12" s="3" t="s">
        <v>50</v>
      </c>
    </row>
    <row r="13" spans="1:12">
      <c r="A13" t="s">
        <v>12</v>
      </c>
      <c r="B13">
        <v>1</v>
      </c>
      <c r="C13" s="2">
        <v>509803333.33333337</v>
      </c>
      <c r="E13" t="s">
        <v>12</v>
      </c>
      <c r="F13">
        <v>1</v>
      </c>
      <c r="G13" s="2">
        <v>471216108.68781394</v>
      </c>
      <c r="H13" s="2">
        <v>547006508.84718597</v>
      </c>
      <c r="I13" s="2">
        <v>394899574.63075101</v>
      </c>
      <c r="J13" s="2">
        <v>466801030</v>
      </c>
      <c r="K13" s="3" t="s">
        <v>50</v>
      </c>
    </row>
    <row r="14" spans="1:12">
      <c r="A14" t="s">
        <v>1</v>
      </c>
      <c r="B14">
        <v>1</v>
      </c>
      <c r="C14" s="2">
        <v>841956666.66666651</v>
      </c>
      <c r="E14" t="s">
        <v>1</v>
      </c>
      <c r="F14">
        <v>1</v>
      </c>
      <c r="G14" s="2">
        <v>545224314.01312923</v>
      </c>
      <c r="H14" s="2">
        <v>633397805.49053395</v>
      </c>
      <c r="I14" s="2">
        <v>494042736.10841203</v>
      </c>
      <c r="J14" s="2">
        <v>553435063.33333302</v>
      </c>
      <c r="K14" s="3" t="s">
        <v>50</v>
      </c>
    </row>
    <row r="15" spans="1:12">
      <c r="A15" t="s">
        <v>13</v>
      </c>
      <c r="B15">
        <v>1</v>
      </c>
      <c r="C15" s="2">
        <v>426276666.66666657</v>
      </c>
      <c r="E15" t="s">
        <v>13</v>
      </c>
      <c r="F15">
        <v>1</v>
      </c>
      <c r="G15" s="2">
        <v>343567422.17031509</v>
      </c>
      <c r="H15" s="2">
        <v>378339817.22672099</v>
      </c>
      <c r="I15" s="2">
        <v>341195352.52783197</v>
      </c>
      <c r="J15" s="2">
        <v>283784966.66666597</v>
      </c>
      <c r="K15" s="3" t="s">
        <v>50</v>
      </c>
    </row>
    <row r="16" spans="1:12">
      <c r="A16" t="s">
        <v>14</v>
      </c>
      <c r="B16">
        <v>1</v>
      </c>
      <c r="C16" s="2">
        <v>91713333.333333328</v>
      </c>
      <c r="E16" t="s">
        <v>14</v>
      </c>
      <c r="F16">
        <v>1</v>
      </c>
      <c r="G16" s="2">
        <v>55030848.019539438</v>
      </c>
      <c r="H16" s="2">
        <v>50609980.245548598</v>
      </c>
      <c r="I16" s="2">
        <v>52784191.507601403</v>
      </c>
      <c r="J16" s="2">
        <v>53325546.666666597</v>
      </c>
      <c r="K16" s="3" t="s">
        <v>50</v>
      </c>
    </row>
    <row r="17" spans="1:11">
      <c r="A17" t="s">
        <v>16</v>
      </c>
      <c r="B17">
        <v>1</v>
      </c>
      <c r="C17" s="2">
        <v>69340000</v>
      </c>
      <c r="E17" t="s">
        <v>16</v>
      </c>
      <c r="F17">
        <v>1</v>
      </c>
      <c r="G17" s="2">
        <v>37759260.525945157</v>
      </c>
      <c r="H17" s="2">
        <v>32569953.260048099</v>
      </c>
      <c r="I17" s="2">
        <v>40180244.8168789</v>
      </c>
      <c r="J17" s="2">
        <v>47005280</v>
      </c>
      <c r="K17" s="3" t="s">
        <v>50</v>
      </c>
    </row>
    <row r="18" spans="1:11">
      <c r="A18" t="s">
        <v>17</v>
      </c>
      <c r="B18">
        <v>1</v>
      </c>
      <c r="C18" s="2">
        <v>74523333.333333313</v>
      </c>
      <c r="E18" t="s">
        <v>17</v>
      </c>
      <c r="F18">
        <v>1</v>
      </c>
      <c r="G18" s="2">
        <v>26403956.602917369</v>
      </c>
      <c r="H18" s="2">
        <v>29346044.2523963</v>
      </c>
      <c r="I18" s="2">
        <v>33030237.3478866</v>
      </c>
      <c r="J18" s="2">
        <v>37903653.333333299</v>
      </c>
      <c r="K18" s="3" t="s">
        <v>50</v>
      </c>
    </row>
    <row r="19" spans="1:11">
      <c r="A19" t="s">
        <v>18</v>
      </c>
      <c r="B19">
        <v>1</v>
      </c>
      <c r="C19" s="2">
        <v>428286666.66666657</v>
      </c>
      <c r="E19" t="s">
        <v>18</v>
      </c>
      <c r="F19">
        <v>1</v>
      </c>
      <c r="G19" s="2">
        <v>312034910.2011373</v>
      </c>
      <c r="H19" s="2">
        <v>299188833.99469501</v>
      </c>
      <c r="I19" s="2">
        <v>277963999.17578</v>
      </c>
      <c r="J19" s="2">
        <v>324756086.66666597</v>
      </c>
      <c r="K19" s="3" t="s">
        <v>50</v>
      </c>
    </row>
    <row r="20" spans="1:11">
      <c r="A20" t="s">
        <v>21</v>
      </c>
      <c r="B20">
        <v>1</v>
      </c>
      <c r="C20" s="2">
        <v>16940000</v>
      </c>
      <c r="E20" t="s">
        <v>21</v>
      </c>
      <c r="F20">
        <v>1</v>
      </c>
      <c r="G20" s="2">
        <v>7352029.8703886531</v>
      </c>
      <c r="H20" s="2">
        <v>7354733.1302692601</v>
      </c>
      <c r="I20" s="2">
        <v>7016440.4025614597</v>
      </c>
      <c r="J20" s="2">
        <v>7399470</v>
      </c>
      <c r="K20" s="3" t="s">
        <v>50</v>
      </c>
    </row>
    <row r="21" spans="1:11">
      <c r="A21" t="s">
        <v>19</v>
      </c>
      <c r="B21">
        <v>1</v>
      </c>
      <c r="C21" s="2">
        <v>20933333.333333321</v>
      </c>
      <c r="E21" t="s">
        <v>19</v>
      </c>
      <c r="F21">
        <v>1</v>
      </c>
      <c r="G21" s="2">
        <v>11005876.477772767</v>
      </c>
      <c r="H21" s="2">
        <v>5097425.5960822999</v>
      </c>
      <c r="I21" s="2">
        <v>10169550.749063101</v>
      </c>
      <c r="J21" s="2">
        <v>13619476.666666601</v>
      </c>
      <c r="K21" s="3" t="s">
        <v>50</v>
      </c>
    </row>
    <row r="22" spans="1:11">
      <c r="A22" t="s">
        <v>20</v>
      </c>
      <c r="B22">
        <v>1</v>
      </c>
      <c r="C22" s="2">
        <v>14850000</v>
      </c>
      <c r="E22" t="s">
        <v>20</v>
      </c>
      <c r="F22">
        <v>1</v>
      </c>
      <c r="G22" s="2">
        <v>6965864.4965811335</v>
      </c>
      <c r="H22" s="2">
        <v>3706197.8568748501</v>
      </c>
      <c r="I22" s="2">
        <v>6261618.3683509603</v>
      </c>
      <c r="J22" s="2">
        <v>7750096.6666666605</v>
      </c>
      <c r="K22" s="3" t="s">
        <v>50</v>
      </c>
    </row>
    <row r="23" spans="1:11">
      <c r="A23" t="s">
        <v>22</v>
      </c>
      <c r="B23">
        <v>1</v>
      </c>
      <c r="C23" s="2">
        <v>4486666.6666666642</v>
      </c>
      <c r="E23" t="s">
        <v>22</v>
      </c>
      <c r="F23">
        <v>1</v>
      </c>
      <c r="G23" s="2">
        <v>9411301.6997167133</v>
      </c>
      <c r="H23" s="2">
        <v>7365481.6789125502</v>
      </c>
      <c r="I23" s="2">
        <v>6638290.1742822099</v>
      </c>
      <c r="J23" s="2">
        <v>7837096.6666666605</v>
      </c>
      <c r="K23" s="3" t="s">
        <v>50</v>
      </c>
    </row>
    <row r="24" spans="1:11">
      <c r="A24" t="s">
        <v>23</v>
      </c>
      <c r="B24">
        <v>1</v>
      </c>
      <c r="C24" s="2">
        <v>142356666.6666666</v>
      </c>
      <c r="E24" t="s">
        <v>23</v>
      </c>
      <c r="F24">
        <v>1</v>
      </c>
      <c r="G24" s="2">
        <v>115528143.27247278</v>
      </c>
      <c r="H24" s="2">
        <v>114113397.180751</v>
      </c>
      <c r="I24" s="2">
        <v>122138564.963402</v>
      </c>
      <c r="J24" s="2">
        <v>137148623.33333299</v>
      </c>
      <c r="K24" s="3" t="s">
        <v>50</v>
      </c>
    </row>
    <row r="25" spans="1:11">
      <c r="A25" t="s">
        <v>32</v>
      </c>
      <c r="B25">
        <v>1</v>
      </c>
      <c r="C25" s="2">
        <v>38400000</v>
      </c>
      <c r="E25" t="s">
        <v>32</v>
      </c>
      <c r="F25">
        <v>1</v>
      </c>
      <c r="G25" s="2">
        <v>37530000</v>
      </c>
      <c r="H25" s="2">
        <v>43855046.6574426</v>
      </c>
      <c r="I25" s="2">
        <v>32501120</v>
      </c>
      <c r="J25" s="2">
        <v>32501120</v>
      </c>
      <c r="K25" s="3" t="s">
        <v>50</v>
      </c>
    </row>
    <row r="26" spans="1:11">
      <c r="A26" t="s">
        <v>33</v>
      </c>
      <c r="B26">
        <v>1</v>
      </c>
      <c r="C26" s="2">
        <v>42400000</v>
      </c>
      <c r="E26" t="s">
        <v>33</v>
      </c>
      <c r="F26">
        <v>1</v>
      </c>
      <c r="G26" s="2">
        <v>37530000</v>
      </c>
      <c r="H26" s="2">
        <v>43855046.6574426</v>
      </c>
      <c r="I26" s="2">
        <v>44216439.999999903</v>
      </c>
      <c r="J26" s="2">
        <v>44216439.999999903</v>
      </c>
      <c r="K26" s="3" t="s">
        <v>50</v>
      </c>
    </row>
    <row r="27" spans="1:11">
      <c r="A27" t="s">
        <v>34</v>
      </c>
      <c r="B27">
        <v>1</v>
      </c>
      <c r="C27" s="2">
        <v>30000000</v>
      </c>
      <c r="E27" t="s">
        <v>34</v>
      </c>
      <c r="F27">
        <v>1</v>
      </c>
      <c r="G27" s="2">
        <v>27800000</v>
      </c>
      <c r="H27" s="2">
        <v>32485219.7462538</v>
      </c>
      <c r="I27" s="2">
        <v>27854870</v>
      </c>
      <c r="J27" s="2">
        <v>27854870</v>
      </c>
      <c r="K27" s="3" t="s">
        <v>50</v>
      </c>
    </row>
    <row r="28" spans="1:11">
      <c r="A28" t="s">
        <v>35</v>
      </c>
      <c r="B28">
        <v>1</v>
      </c>
      <c r="C28" s="2">
        <v>23200000</v>
      </c>
      <c r="E28" t="s">
        <v>35</v>
      </c>
      <c r="F28">
        <v>1</v>
      </c>
      <c r="G28" s="2">
        <v>19460000</v>
      </c>
      <c r="H28" s="2">
        <v>22739653.8223776</v>
      </c>
      <c r="I28" s="2">
        <v>21139570</v>
      </c>
      <c r="J28" s="2">
        <v>21139570</v>
      </c>
      <c r="K28" s="3" t="s">
        <v>50</v>
      </c>
    </row>
    <row r="29" spans="1:11">
      <c r="A29" t="s">
        <v>36</v>
      </c>
      <c r="B29">
        <v>1</v>
      </c>
      <c r="C29" s="2">
        <v>20400000</v>
      </c>
      <c r="E29" t="s">
        <v>36</v>
      </c>
      <c r="F29">
        <v>1</v>
      </c>
      <c r="G29" s="2">
        <v>16680000</v>
      </c>
      <c r="H29" s="2">
        <v>19491131.847752299</v>
      </c>
      <c r="I29" s="2">
        <v>23008710</v>
      </c>
      <c r="J29" s="2">
        <v>23008710</v>
      </c>
      <c r="K29" s="3" t="s">
        <v>50</v>
      </c>
    </row>
    <row r="30" spans="1:11">
      <c r="A30" t="s">
        <v>24</v>
      </c>
      <c r="B30">
        <v>1</v>
      </c>
      <c r="C30" s="2">
        <v>165913333.33333328</v>
      </c>
      <c r="E30" t="s">
        <v>24</v>
      </c>
      <c r="F30">
        <v>1</v>
      </c>
      <c r="G30" s="2">
        <v>152022405.91455352</v>
      </c>
      <c r="H30" s="2">
        <v>180047752.049539</v>
      </c>
      <c r="I30" s="2">
        <v>149035143.31310001</v>
      </c>
      <c r="J30" s="2">
        <v>170376173.33333299</v>
      </c>
      <c r="K30" s="3" t="s">
        <v>50</v>
      </c>
    </row>
    <row r="31" spans="1:11">
      <c r="A31" t="s">
        <v>25</v>
      </c>
      <c r="B31">
        <v>1</v>
      </c>
      <c r="C31" s="2">
        <v>134896666.66666672</v>
      </c>
      <c r="E31" t="s">
        <v>25</v>
      </c>
      <c r="F31">
        <v>1</v>
      </c>
      <c r="G31" s="2">
        <v>47741130.223708764</v>
      </c>
      <c r="H31" s="2">
        <v>60192789.632544003</v>
      </c>
      <c r="I31" s="2">
        <v>47337883.521186203</v>
      </c>
      <c r="J31" s="2">
        <v>50789860</v>
      </c>
      <c r="K31" s="3" t="s">
        <v>50</v>
      </c>
    </row>
    <row r="32" spans="1:11">
      <c r="A32" t="s">
        <v>26</v>
      </c>
      <c r="B32">
        <v>1</v>
      </c>
      <c r="C32" s="2">
        <v>66400000.000000007</v>
      </c>
      <c r="E32" t="s">
        <v>26</v>
      </c>
      <c r="F32">
        <v>1</v>
      </c>
      <c r="G32" s="2">
        <v>51780757.833703838</v>
      </c>
      <c r="H32" s="2">
        <v>70561726.955769196</v>
      </c>
      <c r="I32" s="2">
        <v>54204977.943946801</v>
      </c>
      <c r="J32" s="2">
        <v>61915040</v>
      </c>
      <c r="K32" s="3" t="s">
        <v>50</v>
      </c>
    </row>
    <row r="33" spans="1:12">
      <c r="A33" t="s">
        <v>27</v>
      </c>
      <c r="B33">
        <v>1</v>
      </c>
      <c r="C33" s="2">
        <v>34226666.666666664</v>
      </c>
      <c r="E33" t="s">
        <v>27</v>
      </c>
      <c r="F33">
        <v>1</v>
      </c>
      <c r="G33" s="2">
        <v>41846396.600566573</v>
      </c>
      <c r="H33" s="2">
        <v>36827408.394562699</v>
      </c>
      <c r="I33" s="2">
        <v>30823587.2422668</v>
      </c>
      <c r="J33" s="2">
        <v>42256799.999999903</v>
      </c>
      <c r="K33" s="3" t="s">
        <v>50</v>
      </c>
    </row>
    <row r="34" spans="1:12">
      <c r="A34" t="s">
        <v>30</v>
      </c>
      <c r="B34">
        <v>1</v>
      </c>
      <c r="C34" s="2">
        <v>17660000</v>
      </c>
      <c r="E34" t="s">
        <v>30</v>
      </c>
      <c r="F34">
        <v>1</v>
      </c>
      <c r="G34" s="2">
        <v>28622933.759214714</v>
      </c>
      <c r="H34" s="2">
        <v>27018861.694478601</v>
      </c>
      <c r="I34" s="2">
        <v>26675939.2915884</v>
      </c>
      <c r="J34" s="2">
        <v>29412956.666666601</v>
      </c>
      <c r="K34" s="3" t="s">
        <v>50</v>
      </c>
    </row>
    <row r="35" spans="1:12">
      <c r="A35" t="s">
        <v>29</v>
      </c>
      <c r="B35">
        <v>1</v>
      </c>
      <c r="C35" s="2">
        <v>373533333.33333331</v>
      </c>
      <c r="E35" t="s">
        <v>29</v>
      </c>
      <c r="F35">
        <v>1</v>
      </c>
      <c r="G35" s="2">
        <v>13553099.789310794</v>
      </c>
      <c r="H35" s="2">
        <v>16262049.551623899</v>
      </c>
      <c r="I35" s="2">
        <v>14642829.958030799</v>
      </c>
      <c r="J35" s="2">
        <v>14885713.3333333</v>
      </c>
      <c r="K35" s="3" t="s">
        <v>50</v>
      </c>
    </row>
    <row r="36" spans="1:12">
      <c r="A36" t="s">
        <v>10</v>
      </c>
      <c r="B36">
        <v>1</v>
      </c>
      <c r="C36" s="2">
        <v>165380000</v>
      </c>
      <c r="E36" t="s">
        <v>10</v>
      </c>
      <c r="F36">
        <v>1</v>
      </c>
      <c r="G36" s="2">
        <v>251274180.6969777</v>
      </c>
      <c r="H36" s="2">
        <v>280331420.722781</v>
      </c>
      <c r="I36" s="2">
        <v>233299277.245619</v>
      </c>
      <c r="J36" s="2">
        <v>256950910</v>
      </c>
      <c r="K36" s="3" t="s">
        <v>50</v>
      </c>
    </row>
    <row r="37" spans="1:12">
      <c r="A37" t="s">
        <v>28</v>
      </c>
      <c r="B37">
        <v>1</v>
      </c>
      <c r="C37" s="2">
        <v>63763333.333333358</v>
      </c>
      <c r="E37" t="s">
        <v>28</v>
      </c>
      <c r="F37">
        <v>1</v>
      </c>
      <c r="G37" s="2">
        <v>137851471.99100554</v>
      </c>
      <c r="H37" s="2">
        <v>164513017.155182</v>
      </c>
      <c r="I37" s="2">
        <v>119562757.096755</v>
      </c>
      <c r="J37" s="2">
        <v>146355063.33333299</v>
      </c>
      <c r="K37" s="3" t="s">
        <v>50</v>
      </c>
    </row>
    <row r="38" spans="1:12">
      <c r="A38" t="s">
        <v>7</v>
      </c>
      <c r="B38">
        <v>1</v>
      </c>
      <c r="C38" s="2">
        <v>47426666.666666672</v>
      </c>
      <c r="E38" t="s">
        <v>7</v>
      </c>
      <c r="F38">
        <v>1</v>
      </c>
      <c r="G38" s="2">
        <v>65368927.532838739</v>
      </c>
      <c r="H38" s="2">
        <v>66665124.780400097</v>
      </c>
      <c r="I38" s="2">
        <v>62500000</v>
      </c>
      <c r="J38" s="2">
        <v>62334236.666666597</v>
      </c>
      <c r="K38" s="3" t="s">
        <v>50</v>
      </c>
      <c r="L38" s="4">
        <f>SUM(J4:J38)</f>
        <v>3369750463.3333297</v>
      </c>
    </row>
    <row r="39" spans="1:12">
      <c r="A39" t="s">
        <v>3</v>
      </c>
      <c r="B39">
        <v>2</v>
      </c>
      <c r="C39" s="2">
        <v>159943333.33333331</v>
      </c>
      <c r="E39" t="s">
        <v>3</v>
      </c>
      <c r="F39">
        <v>2</v>
      </c>
      <c r="G39" s="2">
        <v>72012406.12842907</v>
      </c>
      <c r="H39" s="2">
        <v>75891445.064197093</v>
      </c>
      <c r="I39" s="2">
        <v>63395221.488365203</v>
      </c>
      <c r="J39" s="2">
        <v>104522307.31775001</v>
      </c>
      <c r="K39">
        <v>105386666.6666667</v>
      </c>
    </row>
    <row r="40" spans="1:12">
      <c r="A40" t="s">
        <v>5</v>
      </c>
      <c r="B40">
        <v>2</v>
      </c>
      <c r="C40" s="2">
        <v>137026666.66666669</v>
      </c>
      <c r="E40" t="s">
        <v>5</v>
      </c>
      <c r="F40">
        <v>2</v>
      </c>
      <c r="G40" s="2">
        <v>88812131.18713899</v>
      </c>
      <c r="H40" s="2">
        <v>79797732.254178599</v>
      </c>
      <c r="I40" s="2">
        <v>95372716.809018895</v>
      </c>
      <c r="J40" s="2">
        <v>118754205.42138299</v>
      </c>
      <c r="K40">
        <v>99020000.000000015</v>
      </c>
    </row>
    <row r="41" spans="1:12">
      <c r="A41" t="s">
        <v>4</v>
      </c>
      <c r="B41">
        <v>2</v>
      </c>
      <c r="C41" s="2">
        <v>13410000</v>
      </c>
      <c r="E41" t="s">
        <v>4</v>
      </c>
      <c r="F41">
        <v>2</v>
      </c>
      <c r="G41" s="2">
        <v>12467025.495750709</v>
      </c>
      <c r="H41" s="2">
        <v>16428838.247803399</v>
      </c>
      <c r="I41" s="2">
        <v>12619576.8697758</v>
      </c>
      <c r="J41" s="2">
        <v>12790429.1471899</v>
      </c>
      <c r="K41">
        <v>13263333.333333341</v>
      </c>
    </row>
    <row r="42" spans="1:12">
      <c r="A42" t="s">
        <v>6</v>
      </c>
      <c r="B42">
        <v>2</v>
      </c>
      <c r="C42" s="2">
        <v>46713333.333333328</v>
      </c>
      <c r="E42" t="s">
        <v>6</v>
      </c>
      <c r="F42">
        <v>2</v>
      </c>
      <c r="G42" s="2">
        <v>30823842.04856563</v>
      </c>
      <c r="H42" s="2">
        <v>48011331.751205802</v>
      </c>
      <c r="I42" s="2">
        <v>31445891.690581799</v>
      </c>
      <c r="J42" s="2">
        <v>42565842.014683299</v>
      </c>
      <c r="K42">
        <v>45803333.333333328</v>
      </c>
    </row>
    <row r="43" spans="1:12">
      <c r="A43" t="s">
        <v>15</v>
      </c>
      <c r="B43">
        <v>2</v>
      </c>
      <c r="C43" s="2">
        <v>21240000</v>
      </c>
      <c r="E43" t="s">
        <v>15</v>
      </c>
      <c r="F43">
        <v>2</v>
      </c>
      <c r="G43" s="2">
        <v>16591527.019959852</v>
      </c>
      <c r="H43" s="2">
        <v>15496882.3792181</v>
      </c>
      <c r="I43" s="2">
        <v>16935961.207711</v>
      </c>
      <c r="J43" s="2">
        <v>22051677.886849999</v>
      </c>
      <c r="K43">
        <v>20570000</v>
      </c>
    </row>
    <row r="44" spans="1:12">
      <c r="A44" t="s">
        <v>8</v>
      </c>
      <c r="B44">
        <v>2</v>
      </c>
      <c r="C44" s="2">
        <v>97740000.000000015</v>
      </c>
      <c r="E44" t="s">
        <v>8</v>
      </c>
      <c r="F44">
        <v>2</v>
      </c>
      <c r="G44" s="2">
        <v>65857700.242420487</v>
      </c>
      <c r="H44" s="2">
        <v>91530371.942360893</v>
      </c>
      <c r="I44" s="2">
        <v>61052970.057718799</v>
      </c>
      <c r="J44" s="2">
        <v>81669958.795563295</v>
      </c>
      <c r="K44">
        <v>85793333.333333358</v>
      </c>
    </row>
    <row r="45" spans="1:12">
      <c r="A45" t="s">
        <v>2</v>
      </c>
      <c r="B45">
        <v>2</v>
      </c>
      <c r="C45" s="2">
        <v>108370000</v>
      </c>
      <c r="E45" t="s">
        <v>2</v>
      </c>
      <c r="F45">
        <v>2</v>
      </c>
      <c r="G45" s="2">
        <v>36138861.796262793</v>
      </c>
      <c r="H45" s="2">
        <v>34610264.621327803</v>
      </c>
      <c r="I45" s="2">
        <v>45832118.032162301</v>
      </c>
      <c r="J45" s="2">
        <v>54987212.070380002</v>
      </c>
      <c r="K45">
        <v>75316666.666666687</v>
      </c>
    </row>
    <row r="46" spans="1:12">
      <c r="A46" t="s">
        <v>9</v>
      </c>
      <c r="B46">
        <v>2</v>
      </c>
      <c r="C46" s="2">
        <v>10456666.66666667</v>
      </c>
      <c r="E46" t="s">
        <v>9</v>
      </c>
      <c r="F46">
        <v>2</v>
      </c>
      <c r="G46" s="2">
        <v>8259316.1980842231</v>
      </c>
      <c r="H46" s="2">
        <v>12587045.6314776</v>
      </c>
      <c r="I46" s="2">
        <v>8991046.9322231002</v>
      </c>
      <c r="J46" s="2">
        <v>7215550.90204666</v>
      </c>
      <c r="K46">
        <v>5176666.6666666679</v>
      </c>
    </row>
    <row r="47" spans="1:12">
      <c r="A47" t="s">
        <v>11</v>
      </c>
      <c r="B47">
        <v>2</v>
      </c>
      <c r="C47" s="2">
        <v>221010000</v>
      </c>
      <c r="E47" t="s">
        <v>11</v>
      </c>
      <c r="F47">
        <v>2</v>
      </c>
      <c r="G47" s="2">
        <v>84989994.211042866</v>
      </c>
      <c r="H47" s="2">
        <v>73409247.816027403</v>
      </c>
      <c r="I47" s="2">
        <v>90655323.657210097</v>
      </c>
      <c r="J47" s="2">
        <v>119944967.10651</v>
      </c>
      <c r="K47">
        <v>140563333.33333331</v>
      </c>
    </row>
    <row r="48" spans="1:12">
      <c r="A48" t="s">
        <v>12</v>
      </c>
      <c r="B48">
        <v>2</v>
      </c>
      <c r="C48" s="2">
        <v>596933333.33333337</v>
      </c>
      <c r="E48" t="s">
        <v>12</v>
      </c>
      <c r="F48">
        <v>2</v>
      </c>
      <c r="G48" s="2">
        <v>475874034.02486426</v>
      </c>
      <c r="H48" s="2">
        <v>580506537.36168206</v>
      </c>
      <c r="I48" s="2">
        <v>395476083.02144498</v>
      </c>
      <c r="J48" s="2">
        <v>589426971.47185004</v>
      </c>
      <c r="K48">
        <v>509803333.33333337</v>
      </c>
    </row>
    <row r="49" spans="1:11">
      <c r="A49" t="s">
        <v>1</v>
      </c>
      <c r="B49">
        <v>2</v>
      </c>
      <c r="C49" s="2">
        <v>1051583333.333333</v>
      </c>
      <c r="E49" t="s">
        <v>1</v>
      </c>
      <c r="F49">
        <v>2</v>
      </c>
      <c r="G49" s="2">
        <v>577931296.50493824</v>
      </c>
      <c r="H49" s="2">
        <v>663741578.04654002</v>
      </c>
      <c r="I49" s="2">
        <v>531778383.54353702</v>
      </c>
      <c r="J49" s="2">
        <v>861693729.10923302</v>
      </c>
      <c r="K49">
        <v>841956666.66666651</v>
      </c>
    </row>
    <row r="50" spans="1:11">
      <c r="A50" t="s">
        <v>13</v>
      </c>
      <c r="B50">
        <v>2</v>
      </c>
      <c r="C50" s="2">
        <v>604513333.33333337</v>
      </c>
      <c r="E50" t="s">
        <v>13</v>
      </c>
      <c r="F50">
        <v>2</v>
      </c>
      <c r="G50" s="2">
        <v>348197908.22118533</v>
      </c>
      <c r="H50" s="2">
        <v>376092797.620193</v>
      </c>
      <c r="I50" s="2">
        <v>356169761.80971402</v>
      </c>
      <c r="J50" s="2">
        <v>464886310.67592299</v>
      </c>
      <c r="K50">
        <v>426276666.66666657</v>
      </c>
    </row>
    <row r="51" spans="1:11">
      <c r="A51" t="s">
        <v>14</v>
      </c>
      <c r="B51">
        <v>2</v>
      </c>
      <c r="C51" s="2">
        <v>107756666.6666667</v>
      </c>
      <c r="E51" t="s">
        <v>14</v>
      </c>
      <c r="F51">
        <v>2</v>
      </c>
      <c r="G51" s="2">
        <v>53085592.891265951</v>
      </c>
      <c r="H51" s="2">
        <v>57892327.339803398</v>
      </c>
      <c r="I51" s="2">
        <v>55559655.229997501</v>
      </c>
      <c r="J51" s="2">
        <v>69444392.296189994</v>
      </c>
      <c r="K51">
        <v>91713333.333333328</v>
      </c>
    </row>
    <row r="52" spans="1:11">
      <c r="A52" t="s">
        <v>16</v>
      </c>
      <c r="B52">
        <v>2</v>
      </c>
      <c r="C52" s="2">
        <v>72233333.333333328</v>
      </c>
      <c r="E52" t="s">
        <v>16</v>
      </c>
      <c r="F52">
        <v>2</v>
      </c>
      <c r="G52" s="2">
        <v>40429082.480678968</v>
      </c>
      <c r="H52" s="2">
        <v>37395893.2891059</v>
      </c>
      <c r="I52" s="2">
        <v>45313758.1062482</v>
      </c>
      <c r="J52" s="2">
        <v>63623671.357239902</v>
      </c>
      <c r="K52">
        <v>69340000</v>
      </c>
    </row>
    <row r="53" spans="1:11">
      <c r="A53" t="s">
        <v>17</v>
      </c>
      <c r="B53">
        <v>2</v>
      </c>
      <c r="C53" s="2">
        <v>100450000</v>
      </c>
      <c r="E53" t="s">
        <v>17</v>
      </c>
      <c r="F53">
        <v>2</v>
      </c>
      <c r="G53" s="2">
        <v>27130808.184904989</v>
      </c>
      <c r="H53" s="2">
        <v>34370720.0659464</v>
      </c>
      <c r="I53" s="2">
        <v>41813074.034792602</v>
      </c>
      <c r="J53" s="2">
        <v>44705230.611819997</v>
      </c>
      <c r="K53">
        <v>74523333.333333313</v>
      </c>
    </row>
    <row r="54" spans="1:11">
      <c r="A54" t="s">
        <v>18</v>
      </c>
      <c r="B54">
        <v>2</v>
      </c>
      <c r="C54" s="2">
        <v>480183333.33333325</v>
      </c>
      <c r="E54" t="s">
        <v>18</v>
      </c>
      <c r="F54">
        <v>2</v>
      </c>
      <c r="G54" s="2">
        <v>311863890.29389352</v>
      </c>
      <c r="H54" s="2">
        <v>334417267.20689702</v>
      </c>
      <c r="I54" s="2">
        <v>302820513.22934598</v>
      </c>
      <c r="J54" s="2">
        <v>405585449.564026</v>
      </c>
      <c r="K54">
        <v>428286666.66666657</v>
      </c>
    </row>
    <row r="55" spans="1:11">
      <c r="A55" t="s">
        <v>21</v>
      </c>
      <c r="B55">
        <v>2</v>
      </c>
      <c r="C55" s="2">
        <v>18350000</v>
      </c>
      <c r="E55" t="s">
        <v>21</v>
      </c>
      <c r="F55">
        <v>2</v>
      </c>
      <c r="G55" s="2">
        <v>7977700.6849805843</v>
      </c>
      <c r="H55" s="2">
        <v>8417835.7668004408</v>
      </c>
      <c r="I55" s="2">
        <v>7522302.4685612898</v>
      </c>
      <c r="J55" s="2">
        <v>10873255.5906733</v>
      </c>
      <c r="K55">
        <v>16940000</v>
      </c>
    </row>
    <row r="56" spans="1:11">
      <c r="A56" t="s">
        <v>19</v>
      </c>
      <c r="B56">
        <v>2</v>
      </c>
      <c r="C56" s="2">
        <v>34933333.333333328</v>
      </c>
      <c r="E56" t="s">
        <v>19</v>
      </c>
      <c r="F56">
        <v>2</v>
      </c>
      <c r="G56" s="2">
        <v>11132216.025864094</v>
      </c>
      <c r="H56" s="2">
        <v>8179053.4647803297</v>
      </c>
      <c r="I56" s="2">
        <v>10232073.4077837</v>
      </c>
      <c r="J56" s="2">
        <v>18847425.883869998</v>
      </c>
      <c r="K56">
        <v>20933333.333333321</v>
      </c>
    </row>
    <row r="57" spans="1:11">
      <c r="A57" t="s">
        <v>20</v>
      </c>
      <c r="B57">
        <v>2</v>
      </c>
      <c r="C57" s="2">
        <v>17013333.33333334</v>
      </c>
      <c r="E57" t="s">
        <v>20</v>
      </c>
      <c r="F57">
        <v>2</v>
      </c>
      <c r="G57" s="2">
        <v>7610060.9978867564</v>
      </c>
      <c r="H57" s="2">
        <v>4013493.3931953399</v>
      </c>
      <c r="I57" s="2">
        <v>6826818.9481547596</v>
      </c>
      <c r="J57" s="2">
        <v>6165681.6462599998</v>
      </c>
      <c r="K57">
        <v>14850000</v>
      </c>
    </row>
    <row r="58" spans="1:11">
      <c r="A58" t="s">
        <v>22</v>
      </c>
      <c r="B58">
        <v>2</v>
      </c>
      <c r="C58" s="2">
        <v>8446666.666666666</v>
      </c>
      <c r="E58" t="s">
        <v>22</v>
      </c>
      <c r="F58">
        <v>2</v>
      </c>
      <c r="G58" s="2">
        <v>9203976.6288951822</v>
      </c>
      <c r="H58" s="2">
        <v>8214419.1239017304</v>
      </c>
      <c r="I58" s="2">
        <v>6825415.62796639</v>
      </c>
      <c r="J58" s="2">
        <v>8958486.1775633302</v>
      </c>
      <c r="K58">
        <v>4486666.6666666642</v>
      </c>
    </row>
    <row r="59" spans="1:11">
      <c r="A59" t="s">
        <v>23</v>
      </c>
      <c r="B59">
        <v>2</v>
      </c>
      <c r="C59" s="2">
        <v>235750000</v>
      </c>
      <c r="E59" t="s">
        <v>23</v>
      </c>
      <c r="F59">
        <v>2</v>
      </c>
      <c r="G59" s="2">
        <v>117710184.59512806</v>
      </c>
      <c r="H59" s="2">
        <v>118796654.575927</v>
      </c>
      <c r="I59" s="2">
        <v>128827575.040933</v>
      </c>
      <c r="J59" s="2">
        <v>211021621.00376999</v>
      </c>
      <c r="K59">
        <v>142356666.6666666</v>
      </c>
    </row>
    <row r="60" spans="1:11">
      <c r="A60" t="s">
        <v>32</v>
      </c>
      <c r="B60">
        <v>2</v>
      </c>
      <c r="C60" s="2">
        <v>40400000</v>
      </c>
      <c r="E60" t="s">
        <v>32</v>
      </c>
      <c r="F60">
        <v>2</v>
      </c>
      <c r="G60" s="2">
        <v>40500000</v>
      </c>
      <c r="H60" s="2">
        <v>40593030.930353299</v>
      </c>
      <c r="I60" s="2">
        <v>33436760</v>
      </c>
      <c r="J60" s="2">
        <v>33436760</v>
      </c>
      <c r="K60" s="2">
        <v>38400000</v>
      </c>
    </row>
    <row r="61" spans="1:11">
      <c r="A61" t="s">
        <v>33</v>
      </c>
      <c r="B61">
        <v>2</v>
      </c>
      <c r="C61" s="2">
        <v>44800000</v>
      </c>
      <c r="E61" t="s">
        <v>33</v>
      </c>
      <c r="F61">
        <v>2</v>
      </c>
      <c r="G61" s="2">
        <v>40500000</v>
      </c>
      <c r="H61" s="2">
        <v>40593030.930353299</v>
      </c>
      <c r="I61" s="2">
        <v>45723400</v>
      </c>
      <c r="J61" s="2">
        <v>45723400</v>
      </c>
      <c r="K61" s="2">
        <v>42400000</v>
      </c>
    </row>
    <row r="62" spans="1:11">
      <c r="A62" t="s">
        <v>34</v>
      </c>
      <c r="B62">
        <v>2</v>
      </c>
      <c r="C62" s="2">
        <v>30900000</v>
      </c>
      <c r="E62" t="s">
        <v>34</v>
      </c>
      <c r="F62">
        <v>2</v>
      </c>
      <c r="G62" s="2">
        <v>30000000</v>
      </c>
      <c r="H62" s="2">
        <v>30068911.800261699</v>
      </c>
      <c r="I62" s="2">
        <v>28234490</v>
      </c>
      <c r="J62" s="2">
        <v>28234489.999999899</v>
      </c>
      <c r="K62" s="2">
        <v>30000000</v>
      </c>
    </row>
    <row r="63" spans="1:11">
      <c r="A63" t="s">
        <v>35</v>
      </c>
      <c r="B63">
        <v>2</v>
      </c>
      <c r="C63" s="2">
        <v>24600000</v>
      </c>
      <c r="E63" t="s">
        <v>35</v>
      </c>
      <c r="F63">
        <v>2</v>
      </c>
      <c r="G63" s="2">
        <v>21000000.000000004</v>
      </c>
      <c r="H63" s="2">
        <v>21048238.2601832</v>
      </c>
      <c r="I63" s="2">
        <v>23347409.999999899</v>
      </c>
      <c r="J63" s="2">
        <v>23347409.999999899</v>
      </c>
      <c r="K63" s="2">
        <v>23200000</v>
      </c>
    </row>
    <row r="64" spans="1:11">
      <c r="A64" t="s">
        <v>36</v>
      </c>
      <c r="B64">
        <v>2</v>
      </c>
      <c r="C64" s="2">
        <v>21200000</v>
      </c>
      <c r="E64" t="s">
        <v>36</v>
      </c>
      <c r="F64">
        <v>2</v>
      </c>
      <c r="G64" s="2">
        <v>18000000</v>
      </c>
      <c r="H64" s="2">
        <v>18041347.080157001</v>
      </c>
      <c r="I64" s="2">
        <v>23747040</v>
      </c>
      <c r="J64" s="2">
        <v>23747040</v>
      </c>
      <c r="K64" s="2">
        <v>20400000</v>
      </c>
    </row>
    <row r="65" spans="1:13">
      <c r="A65" t="s">
        <v>24</v>
      </c>
      <c r="B65">
        <v>2</v>
      </c>
      <c r="C65" s="2">
        <v>232023333.33333331</v>
      </c>
      <c r="E65" t="s">
        <v>24</v>
      </c>
      <c r="F65">
        <v>2</v>
      </c>
      <c r="G65" s="2">
        <v>164150125.05411458</v>
      </c>
      <c r="H65" s="2">
        <v>194373365.18626499</v>
      </c>
      <c r="I65" s="2">
        <v>163910023.61818901</v>
      </c>
      <c r="J65" s="2">
        <v>214413846.66326299</v>
      </c>
      <c r="K65">
        <v>165913333.33333328</v>
      </c>
    </row>
    <row r="66" spans="1:13">
      <c r="A66" t="s">
        <v>25</v>
      </c>
      <c r="B66">
        <v>2</v>
      </c>
      <c r="C66" s="2">
        <v>138216666.66666669</v>
      </c>
      <c r="E66" t="s">
        <v>25</v>
      </c>
      <c r="F66">
        <v>2</v>
      </c>
      <c r="G66" s="2">
        <v>48291685.105574846</v>
      </c>
      <c r="H66" s="2">
        <v>68491889.886097297</v>
      </c>
      <c r="I66" s="2">
        <v>48858114.504667804</v>
      </c>
      <c r="J66" s="2">
        <v>63670667.791029997</v>
      </c>
      <c r="K66">
        <v>134896666.66666672</v>
      </c>
    </row>
    <row r="67" spans="1:13">
      <c r="A67" t="s">
        <v>26</v>
      </c>
      <c r="B67">
        <v>2</v>
      </c>
      <c r="C67" s="2">
        <v>71420000</v>
      </c>
      <c r="E67" t="s">
        <v>26</v>
      </c>
      <c r="F67">
        <v>2</v>
      </c>
      <c r="G67" s="2">
        <v>53903161.098912701</v>
      </c>
      <c r="H67" s="2">
        <v>73332996.504812896</v>
      </c>
      <c r="I67" s="2">
        <v>62255696.205661803</v>
      </c>
      <c r="J67" s="2">
        <v>83227013.042063296</v>
      </c>
      <c r="K67">
        <v>66400000.000000007</v>
      </c>
    </row>
    <row r="68" spans="1:13">
      <c r="A68" t="s">
        <v>27</v>
      </c>
      <c r="B68">
        <v>2</v>
      </c>
      <c r="C68" s="2">
        <v>38230000</v>
      </c>
      <c r="E68" t="s">
        <v>27</v>
      </c>
      <c r="F68">
        <v>2</v>
      </c>
      <c r="G68" s="2">
        <v>40924546.742209628</v>
      </c>
      <c r="H68" s="2">
        <v>41072095.619508602</v>
      </c>
      <c r="I68" s="2">
        <v>31692467.269420199</v>
      </c>
      <c r="J68" s="2">
        <v>45462649.99013</v>
      </c>
      <c r="K68">
        <v>34226666.666666664</v>
      </c>
    </row>
    <row r="69" spans="1:13">
      <c r="A69" t="s">
        <v>30</v>
      </c>
      <c r="B69">
        <v>2</v>
      </c>
      <c r="C69" s="2">
        <v>19083333.333333328</v>
      </c>
      <c r="E69" t="s">
        <v>30</v>
      </c>
      <c r="F69">
        <v>2</v>
      </c>
      <c r="G69" s="2">
        <v>30638678.117615346</v>
      </c>
      <c r="H69" s="2">
        <v>28797506.2622477</v>
      </c>
      <c r="I69" s="2">
        <v>27902185.6126686</v>
      </c>
      <c r="J69" s="2">
        <v>37895717.566656597</v>
      </c>
      <c r="K69">
        <v>17660000</v>
      </c>
    </row>
    <row r="70" spans="1:13">
      <c r="A70" t="s">
        <v>29</v>
      </c>
      <c r="B70">
        <v>2</v>
      </c>
      <c r="C70" s="2">
        <v>473266666.66666669</v>
      </c>
      <c r="E70" t="s">
        <v>29</v>
      </c>
      <c r="F70">
        <v>2</v>
      </c>
      <c r="G70" s="2">
        <v>14702925.202008557</v>
      </c>
      <c r="H70" s="2">
        <v>17201178.392064702</v>
      </c>
      <c r="I70" s="2">
        <v>16483466.887495</v>
      </c>
      <c r="J70" s="2">
        <v>18714301.1635166</v>
      </c>
      <c r="K70">
        <v>373533333.33333331</v>
      </c>
    </row>
    <row r="71" spans="1:13">
      <c r="A71" t="s">
        <v>10</v>
      </c>
      <c r="B71">
        <v>2</v>
      </c>
      <c r="C71" s="2">
        <v>246410000</v>
      </c>
      <c r="E71" t="s">
        <v>10</v>
      </c>
      <c r="F71">
        <v>2</v>
      </c>
      <c r="G71" s="2">
        <v>254997023.24788949</v>
      </c>
      <c r="H71" s="2">
        <v>296436058.49272901</v>
      </c>
      <c r="I71" s="2">
        <v>244458423.40054101</v>
      </c>
      <c r="J71" s="2">
        <v>321901989.85701901</v>
      </c>
      <c r="K71">
        <v>165380000</v>
      </c>
    </row>
    <row r="72" spans="1:13">
      <c r="A72" t="s">
        <v>28</v>
      </c>
      <c r="B72">
        <v>2</v>
      </c>
      <c r="C72" s="2">
        <v>76660000.000000015</v>
      </c>
      <c r="E72" t="s">
        <v>28</v>
      </c>
      <c r="F72">
        <v>2</v>
      </c>
      <c r="G72" s="2">
        <v>143027829.62439629</v>
      </c>
      <c r="H72" s="2">
        <v>165260198.81728899</v>
      </c>
      <c r="I72" s="2">
        <v>125572848.453457</v>
      </c>
      <c r="J72" s="2">
        <v>164514697.37232301</v>
      </c>
      <c r="K72">
        <v>63763333.333333358</v>
      </c>
    </row>
    <row r="73" spans="1:13">
      <c r="A73" t="s">
        <v>7</v>
      </c>
      <c r="B73">
        <v>2</v>
      </c>
      <c r="C73" s="2">
        <v>48716666.666666672</v>
      </c>
      <c r="E73" t="s">
        <v>7</v>
      </c>
      <c r="F73">
        <v>2</v>
      </c>
      <c r="G73" s="2">
        <v>65886855.065677486</v>
      </c>
      <c r="H73" s="2">
        <v>71031149.343722999</v>
      </c>
      <c r="I73" s="2">
        <v>64099999.999999903</v>
      </c>
      <c r="J73" s="2">
        <v>60131546.510673299</v>
      </c>
      <c r="K73">
        <v>47426666.666666672</v>
      </c>
      <c r="L73" s="4">
        <f>SUM(J39:J73)</f>
        <v>4484155906.0074482</v>
      </c>
      <c r="M73" s="4">
        <f>SUM(K39:K73)</f>
        <v>4455960000</v>
      </c>
    </row>
    <row r="74" spans="1:13">
      <c r="A74" t="s">
        <v>3</v>
      </c>
      <c r="B74">
        <v>3</v>
      </c>
      <c r="C74" s="2">
        <v>214500000</v>
      </c>
      <c r="E74" t="s">
        <v>3</v>
      </c>
      <c r="F74">
        <v>3</v>
      </c>
      <c r="G74" s="2">
        <v>75002809.93672663</v>
      </c>
      <c r="H74" s="2">
        <v>86208271.263569906</v>
      </c>
      <c r="I74" s="2">
        <v>66237917.680875003</v>
      </c>
      <c r="J74" s="2">
        <v>123056059.122411</v>
      </c>
      <c r="K74">
        <v>159943333.33333331</v>
      </c>
    </row>
    <row r="75" spans="1:13">
      <c r="A75" t="s">
        <v>5</v>
      </c>
      <c r="B75">
        <v>3</v>
      </c>
      <c r="C75" s="2">
        <v>175033333.33333331</v>
      </c>
      <c r="E75" t="s">
        <v>5</v>
      </c>
      <c r="F75">
        <v>3</v>
      </c>
      <c r="G75" s="2">
        <v>92675431.338618398</v>
      </c>
      <c r="H75" s="2">
        <v>88651120.442675605</v>
      </c>
      <c r="I75" s="2">
        <v>97281056.029201701</v>
      </c>
      <c r="J75" s="2">
        <v>158882127.52238801</v>
      </c>
      <c r="K75">
        <v>137026666.66666669</v>
      </c>
    </row>
    <row r="76" spans="1:13">
      <c r="A76" t="s">
        <v>4</v>
      </c>
      <c r="B76">
        <v>3</v>
      </c>
      <c r="C76" s="2">
        <v>13556666.66666667</v>
      </c>
      <c r="E76" t="s">
        <v>4</v>
      </c>
      <c r="F76">
        <v>3</v>
      </c>
      <c r="G76" s="2">
        <v>13266957.507082153</v>
      </c>
      <c r="H76" s="2">
        <v>22577735.419972401</v>
      </c>
      <c r="I76" s="2">
        <v>13209316.817660701</v>
      </c>
      <c r="J76" s="2">
        <v>13225600.803339999</v>
      </c>
      <c r="K76">
        <v>13410000</v>
      </c>
    </row>
    <row r="77" spans="1:13">
      <c r="A77" t="s">
        <v>6</v>
      </c>
      <c r="B77">
        <v>3</v>
      </c>
      <c r="C77" s="2">
        <v>47623333.333333328</v>
      </c>
      <c r="E77" t="s">
        <v>6</v>
      </c>
      <c r="F77">
        <v>3</v>
      </c>
      <c r="G77" s="2">
        <v>31852147.090489529</v>
      </c>
      <c r="H77" s="2">
        <v>53966856.275865801</v>
      </c>
      <c r="I77" s="2">
        <v>31852266.412744202</v>
      </c>
      <c r="J77" s="2">
        <v>49693285.310491599</v>
      </c>
      <c r="K77">
        <v>46713333.333333328</v>
      </c>
    </row>
    <row r="78" spans="1:13">
      <c r="A78" t="s">
        <v>15</v>
      </c>
      <c r="B78">
        <v>3</v>
      </c>
      <c r="C78" s="2">
        <v>21910000</v>
      </c>
      <c r="E78" t="s">
        <v>15</v>
      </c>
      <c r="F78">
        <v>3</v>
      </c>
      <c r="G78" s="2">
        <v>17207413.708298892</v>
      </c>
      <c r="H78" s="2">
        <v>16841254.965828098</v>
      </c>
      <c r="I78" s="2">
        <v>17727415.072058599</v>
      </c>
      <c r="J78" s="2">
        <v>25240578.852008302</v>
      </c>
      <c r="K78">
        <v>21240000</v>
      </c>
    </row>
    <row r="79" spans="1:13">
      <c r="A79" t="s">
        <v>8</v>
      </c>
      <c r="B79">
        <v>3</v>
      </c>
      <c r="C79" s="2">
        <v>109686666.6666667</v>
      </c>
      <c r="E79" t="s">
        <v>8</v>
      </c>
      <c r="F79">
        <v>3</v>
      </c>
      <c r="G79" s="2">
        <v>67912797.2477386</v>
      </c>
      <c r="H79" s="2">
        <v>100161116.935868</v>
      </c>
      <c r="I79" s="2">
        <v>64273205.185902499</v>
      </c>
      <c r="J79" s="2">
        <v>103831130.819938</v>
      </c>
      <c r="K79">
        <v>97740000.000000015</v>
      </c>
    </row>
    <row r="80" spans="1:13">
      <c r="A80" t="s">
        <v>2</v>
      </c>
      <c r="B80">
        <v>3</v>
      </c>
      <c r="C80" s="2">
        <v>141423333.33333328</v>
      </c>
      <c r="E80" t="s">
        <v>2</v>
      </c>
      <c r="F80">
        <v>3</v>
      </c>
      <c r="G80" s="2">
        <v>37665490.555783413</v>
      </c>
      <c r="H80" s="2">
        <v>39393967.713776</v>
      </c>
      <c r="I80" s="2">
        <v>47792321.581657201</v>
      </c>
      <c r="J80" s="2">
        <v>66764084.227368303</v>
      </c>
      <c r="K80">
        <v>108370000</v>
      </c>
    </row>
    <row r="81" spans="1:11">
      <c r="A81" t="s">
        <v>9</v>
      </c>
      <c r="B81">
        <v>3</v>
      </c>
      <c r="C81" s="2">
        <v>15736666.66666667</v>
      </c>
      <c r="E81" t="s">
        <v>9</v>
      </c>
      <c r="F81">
        <v>3</v>
      </c>
      <c r="G81" s="2">
        <v>8565953.593036171</v>
      </c>
      <c r="H81" s="2">
        <v>13787727.675378</v>
      </c>
      <c r="I81" s="2">
        <v>9597049.2899950799</v>
      </c>
      <c r="J81" s="2">
        <v>8028260.9171033297</v>
      </c>
      <c r="K81">
        <v>10456666.66666667</v>
      </c>
    </row>
    <row r="82" spans="1:11">
      <c r="A82" t="s">
        <v>11</v>
      </c>
      <c r="B82">
        <v>3</v>
      </c>
      <c r="C82" s="2">
        <v>301456666.66666669</v>
      </c>
      <c r="E82" t="s">
        <v>11</v>
      </c>
      <c r="F82">
        <v>3</v>
      </c>
      <c r="G82" s="2">
        <v>85529100.352834597</v>
      </c>
      <c r="H82" s="2">
        <v>74028349.751653001</v>
      </c>
      <c r="I82" s="2">
        <v>92470732.931242794</v>
      </c>
      <c r="J82" s="2">
        <v>150047867.53237599</v>
      </c>
      <c r="K82">
        <v>221010000</v>
      </c>
    </row>
    <row r="83" spans="1:11">
      <c r="A83" t="s">
        <v>12</v>
      </c>
      <c r="B83">
        <v>3</v>
      </c>
      <c r="C83" s="2">
        <v>684063333.33333337</v>
      </c>
      <c r="E83" t="s">
        <v>12</v>
      </c>
      <c r="F83">
        <v>3</v>
      </c>
      <c r="G83" s="2">
        <v>488720364.8271361</v>
      </c>
      <c r="H83" s="2">
        <v>657777380.75424194</v>
      </c>
      <c r="I83" s="2">
        <v>414482278.01659203</v>
      </c>
      <c r="J83" s="2">
        <v>653128965.93867803</v>
      </c>
      <c r="K83">
        <v>596933333.33333337</v>
      </c>
    </row>
    <row r="84" spans="1:11">
      <c r="A84" t="s">
        <v>1</v>
      </c>
      <c r="B84">
        <v>3</v>
      </c>
      <c r="C84" s="2">
        <v>1261210000</v>
      </c>
      <c r="E84" t="s">
        <v>1</v>
      </c>
      <c r="F84">
        <v>3</v>
      </c>
      <c r="G84" s="2">
        <v>569121607.83822918</v>
      </c>
      <c r="H84" s="2">
        <v>767641421.89881802</v>
      </c>
      <c r="I84" s="2">
        <v>557504067.61900997</v>
      </c>
      <c r="J84" s="2">
        <v>1088569058.7624199</v>
      </c>
      <c r="K84">
        <v>1051583333.333333</v>
      </c>
    </row>
    <row r="85" spans="1:11">
      <c r="A85" t="s">
        <v>13</v>
      </c>
      <c r="B85">
        <v>3</v>
      </c>
      <c r="C85" s="2">
        <v>782750000</v>
      </c>
      <c r="E85" t="s">
        <v>13</v>
      </c>
      <c r="F85">
        <v>3</v>
      </c>
      <c r="G85" s="2">
        <v>365414903.33672971</v>
      </c>
      <c r="H85" s="2">
        <v>395298451.42834997</v>
      </c>
      <c r="I85" s="2">
        <v>372114134.44852501</v>
      </c>
      <c r="J85" s="2">
        <v>624385758.26087296</v>
      </c>
      <c r="K85">
        <v>604513333.33333337</v>
      </c>
    </row>
    <row r="86" spans="1:11">
      <c r="A86" t="s">
        <v>14</v>
      </c>
      <c r="B86">
        <v>3</v>
      </c>
      <c r="C86" s="2">
        <v>123800000</v>
      </c>
      <c r="E86" t="s">
        <v>14</v>
      </c>
      <c r="F86">
        <v>3</v>
      </c>
      <c r="G86" s="2">
        <v>51819609.599764474</v>
      </c>
      <c r="H86" s="2">
        <v>94835179.298912793</v>
      </c>
      <c r="I86" s="2">
        <v>57241694.163792603</v>
      </c>
      <c r="J86" s="2">
        <v>84448734.652139902</v>
      </c>
      <c r="K86">
        <v>107756666.6666667</v>
      </c>
    </row>
    <row r="87" spans="1:11">
      <c r="A87" t="s">
        <v>16</v>
      </c>
      <c r="B87">
        <v>3</v>
      </c>
      <c r="C87" s="2">
        <v>75126666.666666672</v>
      </c>
      <c r="E87" t="s">
        <v>16</v>
      </c>
      <c r="F87">
        <v>3</v>
      </c>
      <c r="G87" s="2">
        <v>41075484.668094099</v>
      </c>
      <c r="H87" s="2">
        <v>49567518.5728039</v>
      </c>
      <c r="I87" s="2">
        <v>47646702.531100102</v>
      </c>
      <c r="J87" s="2">
        <v>81543655.326886594</v>
      </c>
      <c r="K87">
        <v>72233333.333333328</v>
      </c>
    </row>
    <row r="88" spans="1:11">
      <c r="A88" t="s">
        <v>17</v>
      </c>
      <c r="B88">
        <v>3</v>
      </c>
      <c r="C88" s="2">
        <v>126376666.66666669</v>
      </c>
      <c r="E88" t="s">
        <v>17</v>
      </c>
      <c r="F88">
        <v>3</v>
      </c>
      <c r="G88" s="2">
        <v>28145265.612662502</v>
      </c>
      <c r="H88" s="2">
        <v>41617786.1107492</v>
      </c>
      <c r="I88" s="2">
        <v>45361539.272535302</v>
      </c>
      <c r="J88" s="2">
        <v>53336579.685798302</v>
      </c>
      <c r="K88">
        <v>100450000</v>
      </c>
    </row>
    <row r="89" spans="1:11">
      <c r="A89" t="s">
        <v>18</v>
      </c>
      <c r="B89">
        <v>3</v>
      </c>
      <c r="C89" s="2">
        <v>532080000.00000006</v>
      </c>
      <c r="E89" t="s">
        <v>18</v>
      </c>
      <c r="F89">
        <v>3</v>
      </c>
      <c r="G89" s="2">
        <v>318721573.65805072</v>
      </c>
      <c r="H89" s="2">
        <v>386157905.03887498</v>
      </c>
      <c r="I89" s="2">
        <v>308955435.75427699</v>
      </c>
      <c r="J89" s="2">
        <v>514030207.15520602</v>
      </c>
      <c r="K89">
        <v>480183333.33333325</v>
      </c>
    </row>
    <row r="90" spans="1:11">
      <c r="A90" t="s">
        <v>21</v>
      </c>
      <c r="B90">
        <v>3</v>
      </c>
      <c r="C90" s="2">
        <v>19760000</v>
      </c>
      <c r="E90" t="s">
        <v>21</v>
      </c>
      <c r="F90">
        <v>3</v>
      </c>
      <c r="G90" s="2">
        <v>8592392.8449004237</v>
      </c>
      <c r="H90" s="2">
        <v>10375865.562244801</v>
      </c>
      <c r="I90" s="2">
        <v>8112330.7017988004</v>
      </c>
      <c r="J90" s="2">
        <v>13795909.853771601</v>
      </c>
      <c r="K90">
        <v>18350000</v>
      </c>
    </row>
    <row r="91" spans="1:11">
      <c r="A91" t="s">
        <v>19</v>
      </c>
      <c r="B91">
        <v>3</v>
      </c>
      <c r="C91" s="2">
        <v>48933333.333333336</v>
      </c>
      <c r="E91" t="s">
        <v>19</v>
      </c>
      <c r="F91">
        <v>3</v>
      </c>
      <c r="G91" s="2">
        <v>10953274.115235621</v>
      </c>
      <c r="H91" s="2">
        <v>12382359.0985319</v>
      </c>
      <c r="I91" s="2">
        <v>10683540.3340375</v>
      </c>
      <c r="J91" s="2">
        <v>22249006.280274998</v>
      </c>
      <c r="K91">
        <v>34933333.333333328</v>
      </c>
    </row>
    <row r="92" spans="1:11">
      <c r="A92" t="s">
        <v>20</v>
      </c>
      <c r="B92">
        <v>3</v>
      </c>
      <c r="C92" s="2">
        <v>19176666.666666668</v>
      </c>
      <c r="E92" t="s">
        <v>20</v>
      </c>
      <c r="F92">
        <v>3</v>
      </c>
      <c r="G92" s="2">
        <v>8324375.271309833</v>
      </c>
      <c r="H92" s="2">
        <v>5175415.0572172301</v>
      </c>
      <c r="I92" s="2">
        <v>7225492.3150863796</v>
      </c>
      <c r="J92" s="2">
        <v>6667182.5468583303</v>
      </c>
      <c r="K92">
        <v>17013333.33333334</v>
      </c>
    </row>
    <row r="93" spans="1:11">
      <c r="A93" t="s">
        <v>22</v>
      </c>
      <c r="B93">
        <v>3</v>
      </c>
      <c r="C93" s="2">
        <v>12406666.66666667</v>
      </c>
      <c r="E93" t="s">
        <v>22</v>
      </c>
      <c r="F93">
        <v>3</v>
      </c>
      <c r="G93" s="2">
        <v>9794538.95184136</v>
      </c>
      <c r="H93" s="2">
        <v>11288867.709986201</v>
      </c>
      <c r="I93" s="2">
        <v>7144381.9687769096</v>
      </c>
      <c r="J93" s="2">
        <v>9427434.0194933303</v>
      </c>
      <c r="K93">
        <v>8446666.666666666</v>
      </c>
    </row>
    <row r="94" spans="1:11">
      <c r="A94" t="s">
        <v>23</v>
      </c>
      <c r="B94">
        <v>3</v>
      </c>
      <c r="C94" s="2">
        <v>329143333.33333337</v>
      </c>
      <c r="E94" t="s">
        <v>23</v>
      </c>
      <c r="F94">
        <v>3</v>
      </c>
      <c r="G94" s="2">
        <v>118525238.72568303</v>
      </c>
      <c r="H94" s="2">
        <v>138579580.714641</v>
      </c>
      <c r="I94" s="2">
        <v>134281245.36608699</v>
      </c>
      <c r="J94" s="2">
        <v>253040368.84697101</v>
      </c>
      <c r="K94">
        <v>235750000</v>
      </c>
    </row>
    <row r="95" spans="1:11">
      <c r="A95" t="s">
        <v>32</v>
      </c>
      <c r="B95">
        <v>3</v>
      </c>
      <c r="C95" s="2">
        <v>42400000</v>
      </c>
      <c r="E95" t="s">
        <v>32</v>
      </c>
      <c r="F95">
        <v>3</v>
      </c>
      <c r="G95" s="2">
        <v>41310000</v>
      </c>
      <c r="H95" s="2">
        <v>40024389.635654099</v>
      </c>
      <c r="I95" s="2">
        <v>34832975</v>
      </c>
      <c r="J95" s="2">
        <v>34832975</v>
      </c>
      <c r="K95">
        <v>40400000</v>
      </c>
    </row>
    <row r="96" spans="1:11">
      <c r="A96" t="s">
        <v>33</v>
      </c>
      <c r="B96">
        <v>3</v>
      </c>
      <c r="C96" s="2">
        <v>48500000</v>
      </c>
      <c r="E96" t="s">
        <v>33</v>
      </c>
      <c r="F96">
        <v>3</v>
      </c>
      <c r="G96" s="2">
        <v>41310000</v>
      </c>
      <c r="H96" s="2">
        <v>40024389.635654099</v>
      </c>
      <c r="I96" s="2">
        <v>46563560</v>
      </c>
      <c r="J96" s="2">
        <v>46563560</v>
      </c>
      <c r="K96">
        <v>44800000</v>
      </c>
    </row>
    <row r="97" spans="1:11">
      <c r="A97" t="s">
        <v>34</v>
      </c>
      <c r="B97">
        <v>3</v>
      </c>
      <c r="C97" s="2">
        <v>32400000</v>
      </c>
      <c r="E97" t="s">
        <v>34</v>
      </c>
      <c r="F97">
        <v>3</v>
      </c>
      <c r="G97" s="2">
        <v>30600000</v>
      </c>
      <c r="H97" s="2">
        <v>29647696.026410401</v>
      </c>
      <c r="I97" s="2">
        <v>28686365</v>
      </c>
      <c r="J97" s="2">
        <v>28686365</v>
      </c>
      <c r="K97">
        <v>30900000</v>
      </c>
    </row>
    <row r="98" spans="1:11">
      <c r="A98" t="s">
        <v>35</v>
      </c>
      <c r="B98">
        <v>3</v>
      </c>
      <c r="C98" s="2">
        <v>26100000</v>
      </c>
      <c r="E98" t="s">
        <v>35</v>
      </c>
      <c r="F98">
        <v>3</v>
      </c>
      <c r="G98" s="2">
        <v>21420000.000000004</v>
      </c>
      <c r="H98" s="2">
        <v>20753387.2184873</v>
      </c>
      <c r="I98" s="2">
        <v>24172379.999999899</v>
      </c>
      <c r="J98" s="2">
        <v>24172380</v>
      </c>
      <c r="K98">
        <v>24600000</v>
      </c>
    </row>
    <row r="99" spans="1:11">
      <c r="A99" t="s">
        <v>36</v>
      </c>
      <c r="B99">
        <v>3</v>
      </c>
      <c r="C99" s="2">
        <v>22800000</v>
      </c>
      <c r="E99" t="s">
        <v>36</v>
      </c>
      <c r="F99">
        <v>3</v>
      </c>
      <c r="G99" s="2">
        <v>18360000</v>
      </c>
      <c r="H99" s="2">
        <v>17788617.615846299</v>
      </c>
      <c r="I99" s="2">
        <v>24245585</v>
      </c>
      <c r="J99" s="2">
        <v>24245585</v>
      </c>
      <c r="K99">
        <v>21200000</v>
      </c>
    </row>
    <row r="100" spans="1:11">
      <c r="A100" t="s">
        <v>24</v>
      </c>
      <c r="B100">
        <v>3</v>
      </c>
      <c r="C100" s="2">
        <v>298133333.33333331</v>
      </c>
      <c r="E100" t="s">
        <v>24</v>
      </c>
      <c r="F100">
        <v>3</v>
      </c>
      <c r="G100" s="2">
        <v>176687917.28722173</v>
      </c>
      <c r="H100" s="2">
        <v>221479172.19424501</v>
      </c>
      <c r="I100" s="2">
        <v>174036573.94137901</v>
      </c>
      <c r="J100" s="2">
        <v>259054305.08969301</v>
      </c>
      <c r="K100">
        <v>232023333.33333331</v>
      </c>
    </row>
    <row r="101" spans="1:11">
      <c r="A101" t="s">
        <v>25</v>
      </c>
      <c r="B101">
        <v>3</v>
      </c>
      <c r="C101" s="2">
        <v>141536666.66666669</v>
      </c>
      <c r="E101" t="s">
        <v>25</v>
      </c>
      <c r="F101">
        <v>3</v>
      </c>
      <c r="G101" s="2">
        <v>48415369.059670985</v>
      </c>
      <c r="H101" s="2">
        <v>87276538.446179897</v>
      </c>
      <c r="I101" s="2">
        <v>50596368.624988399</v>
      </c>
      <c r="J101" s="2">
        <v>74387794.796813294</v>
      </c>
      <c r="K101">
        <v>138216666.66666669</v>
      </c>
    </row>
    <row r="102" spans="1:11">
      <c r="A102" t="s">
        <v>26</v>
      </c>
      <c r="B102">
        <v>3</v>
      </c>
      <c r="C102" s="2">
        <v>76440000</v>
      </c>
      <c r="E102" t="s">
        <v>26</v>
      </c>
      <c r="F102">
        <v>3</v>
      </c>
      <c r="G102" s="2">
        <v>55946733.472360171</v>
      </c>
      <c r="H102" s="2">
        <v>123974600.046306</v>
      </c>
      <c r="I102" s="2">
        <v>65302569.625753999</v>
      </c>
      <c r="J102" s="2">
        <v>108223541.792133</v>
      </c>
      <c r="K102">
        <v>71420000</v>
      </c>
    </row>
    <row r="103" spans="1:11">
      <c r="A103" t="s">
        <v>27</v>
      </c>
      <c r="B103">
        <v>3</v>
      </c>
      <c r="C103" s="2">
        <v>42233333.333333328</v>
      </c>
      <c r="E103" t="s">
        <v>27</v>
      </c>
      <c r="F103">
        <v>3</v>
      </c>
      <c r="G103" s="2">
        <v>43550422.096317284</v>
      </c>
      <c r="H103" s="2">
        <v>56444338.549930997</v>
      </c>
      <c r="I103" s="2">
        <v>33173524.375271</v>
      </c>
      <c r="J103" s="2">
        <v>46036943.047201604</v>
      </c>
      <c r="K103">
        <v>38230000</v>
      </c>
    </row>
    <row r="104" spans="1:11">
      <c r="A104" t="s">
        <v>30</v>
      </c>
      <c r="B104">
        <v>3</v>
      </c>
      <c r="C104" s="2">
        <v>20506666.666666672</v>
      </c>
      <c r="E104" t="s">
        <v>30</v>
      </c>
      <c r="F104">
        <v>3</v>
      </c>
      <c r="G104" s="2">
        <v>32271644.043966338</v>
      </c>
      <c r="H104" s="2">
        <v>34465735.793779999</v>
      </c>
      <c r="I104" s="2">
        <v>29714131.417302798</v>
      </c>
      <c r="J104" s="2">
        <v>46254707.741011597</v>
      </c>
      <c r="K104">
        <v>19083333.333333328</v>
      </c>
    </row>
    <row r="105" spans="1:11">
      <c r="A105" t="s">
        <v>29</v>
      </c>
      <c r="B105">
        <v>3</v>
      </c>
      <c r="C105" s="2">
        <v>573000000</v>
      </c>
      <c r="E105" t="s">
        <v>29</v>
      </c>
      <c r="F105">
        <v>3</v>
      </c>
      <c r="G105" s="2">
        <v>15158293.896872295</v>
      </c>
      <c r="H105" s="2">
        <v>19707693.339325</v>
      </c>
      <c r="I105" s="2">
        <v>17416842.0931875</v>
      </c>
      <c r="J105" s="2">
        <v>22453339.40165</v>
      </c>
      <c r="K105">
        <v>473266666.66666669</v>
      </c>
    </row>
    <row r="106" spans="1:11">
      <c r="A106" t="s">
        <v>10</v>
      </c>
      <c r="B106">
        <v>3</v>
      </c>
      <c r="C106" s="2">
        <v>327440000</v>
      </c>
      <c r="E106" t="s">
        <v>10</v>
      </c>
      <c r="F106">
        <v>3</v>
      </c>
      <c r="G106" s="2">
        <v>261245146.51357353</v>
      </c>
      <c r="H106" s="2">
        <v>447980611.76540899</v>
      </c>
      <c r="I106" s="2">
        <v>254702603.037774</v>
      </c>
      <c r="J106" s="2">
        <v>389872058.87660998</v>
      </c>
      <c r="K106">
        <v>246410000</v>
      </c>
    </row>
    <row r="107" spans="1:11">
      <c r="A107" t="s">
        <v>28</v>
      </c>
      <c r="B107">
        <v>3</v>
      </c>
      <c r="C107" s="2">
        <v>89556666.666666657</v>
      </c>
      <c r="E107" t="s">
        <v>28</v>
      </c>
      <c r="F107">
        <v>3</v>
      </c>
      <c r="G107" s="2">
        <v>147531163.97898179</v>
      </c>
      <c r="H107" s="2">
        <v>168182759.34991601</v>
      </c>
      <c r="I107" s="2">
        <v>129436130.57514501</v>
      </c>
      <c r="J107" s="2">
        <v>185829918.73288</v>
      </c>
      <c r="K107">
        <v>76660000.000000015</v>
      </c>
    </row>
    <row r="108" spans="1:11">
      <c r="A108" t="s">
        <v>7</v>
      </c>
      <c r="B108">
        <v>3</v>
      </c>
      <c r="C108" s="2">
        <v>50006666.666666664</v>
      </c>
      <c r="E108" t="s">
        <v>7</v>
      </c>
      <c r="F108">
        <v>3</v>
      </c>
      <c r="G108" s="2">
        <v>66404782.598516233</v>
      </c>
      <c r="H108" s="2">
        <v>76845477.405583799</v>
      </c>
      <c r="I108" s="2">
        <v>67400000</v>
      </c>
      <c r="J108" s="2">
        <v>64155836.869389899</v>
      </c>
      <c r="K108">
        <v>48716666.666666672</v>
      </c>
    </row>
    <row r="109" spans="1:11">
      <c r="A109" t="s">
        <v>3</v>
      </c>
      <c r="B109">
        <v>4</v>
      </c>
      <c r="C109" s="2">
        <v>246588333.33333331</v>
      </c>
      <c r="E109" t="s">
        <v>3</v>
      </c>
      <c r="F109">
        <v>4</v>
      </c>
      <c r="G109" s="2">
        <v>79301250.970193759</v>
      </c>
      <c r="H109" s="2">
        <v>107961948.78453</v>
      </c>
      <c r="I109" s="2">
        <v>68903693.350950405</v>
      </c>
      <c r="J109" s="2">
        <v>143297769.71821299</v>
      </c>
      <c r="K109">
        <v>214500000</v>
      </c>
    </row>
    <row r="110" spans="1:11">
      <c r="A110" t="s">
        <v>5</v>
      </c>
      <c r="B110">
        <v>4</v>
      </c>
      <c r="C110" s="2">
        <v>191450000</v>
      </c>
      <c r="E110" t="s">
        <v>5</v>
      </c>
      <c r="F110">
        <v>4</v>
      </c>
      <c r="G110" s="2">
        <v>99351596.061216757</v>
      </c>
      <c r="H110" s="2">
        <v>108840774.797474</v>
      </c>
      <c r="I110" s="2">
        <v>99212384.075708106</v>
      </c>
      <c r="J110" s="2">
        <v>202718201.07638299</v>
      </c>
      <c r="K110">
        <v>175033333.33333331</v>
      </c>
    </row>
    <row r="111" spans="1:11">
      <c r="A111" t="s">
        <v>4</v>
      </c>
      <c r="B111">
        <v>4</v>
      </c>
      <c r="C111" s="2">
        <v>13861666.66666667</v>
      </c>
      <c r="E111" t="s">
        <v>4</v>
      </c>
      <c r="F111">
        <v>4</v>
      </c>
      <c r="G111" s="2">
        <v>13973280.453257792</v>
      </c>
      <c r="H111" s="2">
        <v>31228263.289850201</v>
      </c>
      <c r="I111" s="2">
        <v>13571637.7211027</v>
      </c>
      <c r="J111" s="2">
        <v>13660772.459489999</v>
      </c>
      <c r="K111">
        <v>13556666.66666667</v>
      </c>
    </row>
    <row r="112" spans="1:11">
      <c r="A112" t="s">
        <v>6</v>
      </c>
      <c r="B112">
        <v>4</v>
      </c>
      <c r="C112" s="2">
        <v>50630000</v>
      </c>
      <c r="E112" t="s">
        <v>6</v>
      </c>
      <c r="F112">
        <v>4</v>
      </c>
      <c r="G112" s="2">
        <v>32676782.611798726</v>
      </c>
      <c r="H112" s="2">
        <v>64699808.494825602</v>
      </c>
      <c r="I112" s="2">
        <v>31884097.4604421</v>
      </c>
      <c r="J112" s="2">
        <v>57954727.294709899</v>
      </c>
      <c r="K112">
        <v>47623333.333333328</v>
      </c>
    </row>
    <row r="113" spans="1:11">
      <c r="A113" t="s">
        <v>15</v>
      </c>
      <c r="B113">
        <v>4</v>
      </c>
      <c r="C113" s="2">
        <v>23823333.333333332</v>
      </c>
      <c r="E113" t="s">
        <v>15</v>
      </c>
      <c r="F113">
        <v>4</v>
      </c>
      <c r="G113" s="2">
        <v>18330052.697766408</v>
      </c>
      <c r="H113" s="2">
        <v>19449935.343407601</v>
      </c>
      <c r="I113" s="2">
        <v>18213663.765557401</v>
      </c>
      <c r="J113" s="2">
        <v>29086361.617606599</v>
      </c>
      <c r="K113">
        <v>21910000</v>
      </c>
    </row>
    <row r="114" spans="1:11">
      <c r="A114" t="s">
        <v>8</v>
      </c>
      <c r="B114">
        <v>4</v>
      </c>
      <c r="C114" s="2">
        <v>114916666.6666667</v>
      </c>
      <c r="E114" t="s">
        <v>8</v>
      </c>
      <c r="F114">
        <v>4</v>
      </c>
      <c r="G114" s="2">
        <v>71447526.820837528</v>
      </c>
      <c r="H114" s="2">
        <v>118150674.069203</v>
      </c>
      <c r="I114" s="2">
        <v>67924471.688329205</v>
      </c>
      <c r="J114" s="2">
        <v>128447157.440313</v>
      </c>
      <c r="K114">
        <v>109686666.6666667</v>
      </c>
    </row>
    <row r="115" spans="1:11">
      <c r="A115" t="s">
        <v>2</v>
      </c>
      <c r="B115">
        <v>4</v>
      </c>
      <c r="C115" s="2">
        <v>158533333.33333331</v>
      </c>
      <c r="E115" t="s">
        <v>2</v>
      </c>
      <c r="F115">
        <v>4</v>
      </c>
      <c r="G115" s="2">
        <v>39857237.891360916</v>
      </c>
      <c r="H115" s="2">
        <v>44825384.068830803</v>
      </c>
      <c r="I115" s="2">
        <v>49890523.610512599</v>
      </c>
      <c r="J115" s="2">
        <v>82636316.669316605</v>
      </c>
      <c r="K115">
        <v>141423333.33333328</v>
      </c>
    </row>
    <row r="116" spans="1:11">
      <c r="A116" t="s">
        <v>9</v>
      </c>
      <c r="B116">
        <v>4</v>
      </c>
      <c r="C116" s="2">
        <v>24596666.66666666</v>
      </c>
      <c r="E116" t="s">
        <v>9</v>
      </c>
      <c r="F116">
        <v>4</v>
      </c>
      <c r="G116" s="2">
        <v>8524857.771873517</v>
      </c>
      <c r="H116" s="2">
        <v>14598870.949856</v>
      </c>
      <c r="I116" s="2">
        <v>10066944.3170399</v>
      </c>
      <c r="J116" s="2">
        <v>9759470.4128099997</v>
      </c>
      <c r="K116">
        <v>15736666.66666667</v>
      </c>
    </row>
    <row r="117" spans="1:11">
      <c r="A117" t="s">
        <v>11</v>
      </c>
      <c r="B117">
        <v>4</v>
      </c>
      <c r="C117" s="2">
        <v>360938333.33333337</v>
      </c>
      <c r="E117" t="s">
        <v>11</v>
      </c>
      <c r="F117">
        <v>4</v>
      </c>
      <c r="G117" s="2">
        <v>88007475.485903695</v>
      </c>
      <c r="H117" s="2">
        <v>91863730.298543796</v>
      </c>
      <c r="I117" s="2">
        <v>97007535.340769798</v>
      </c>
      <c r="J117" s="2">
        <v>185497616.496663</v>
      </c>
      <c r="K117">
        <v>301456666.66666669</v>
      </c>
    </row>
    <row r="118" spans="1:11">
      <c r="A118" t="s">
        <v>12</v>
      </c>
      <c r="B118">
        <v>4</v>
      </c>
      <c r="C118" s="2">
        <v>772923333.33333337</v>
      </c>
      <c r="E118" t="s">
        <v>12</v>
      </c>
      <c r="F118">
        <v>4</v>
      </c>
      <c r="G118" s="2">
        <v>520780604.27035701</v>
      </c>
      <c r="H118" s="2">
        <v>757520568.88958097</v>
      </c>
      <c r="I118" s="2">
        <v>422904074.07119203</v>
      </c>
      <c r="J118" s="2">
        <v>732439513.72473598</v>
      </c>
      <c r="K118">
        <v>684063333.33333337</v>
      </c>
    </row>
    <row r="119" spans="1:11">
      <c r="A119" t="s">
        <v>1</v>
      </c>
      <c r="B119">
        <v>4</v>
      </c>
      <c r="C119" s="2">
        <v>1379005000</v>
      </c>
      <c r="E119" t="s">
        <v>1</v>
      </c>
      <c r="F119">
        <v>4</v>
      </c>
      <c r="G119" s="2">
        <v>577015201.82209444</v>
      </c>
      <c r="H119" s="2">
        <v>907745925.59121597</v>
      </c>
      <c r="I119" s="2">
        <v>576011413.85266304</v>
      </c>
      <c r="J119" s="2">
        <v>1335481005.1126499</v>
      </c>
      <c r="K119">
        <v>1261210000</v>
      </c>
    </row>
    <row r="120" spans="1:11">
      <c r="A120" t="s">
        <v>13</v>
      </c>
      <c r="B120">
        <v>4</v>
      </c>
      <c r="C120" s="2">
        <v>829701666.66666663</v>
      </c>
      <c r="E120" t="s">
        <v>13</v>
      </c>
      <c r="F120">
        <v>4</v>
      </c>
      <c r="G120" s="2">
        <v>383688809.3557601</v>
      </c>
      <c r="H120" s="2">
        <v>457611347.24214602</v>
      </c>
      <c r="I120" s="2">
        <v>395226207.30133498</v>
      </c>
      <c r="J120" s="2">
        <v>791235967.36497295</v>
      </c>
      <c r="K120">
        <v>782750000</v>
      </c>
    </row>
    <row r="121" spans="1:11">
      <c r="A121" t="s">
        <v>14</v>
      </c>
      <c r="B121">
        <v>4</v>
      </c>
      <c r="C121" s="2">
        <v>169013333.33333328</v>
      </c>
      <c r="E121" t="s">
        <v>14</v>
      </c>
      <c r="F121">
        <v>4</v>
      </c>
      <c r="G121" s="2">
        <v>54725165.825471923</v>
      </c>
      <c r="H121" s="2">
        <v>128438605.37953401</v>
      </c>
      <c r="I121" s="2">
        <v>60349196.043666802</v>
      </c>
      <c r="J121" s="2">
        <v>101341030.34333</v>
      </c>
      <c r="K121">
        <v>123800000</v>
      </c>
    </row>
    <row r="122" spans="1:11">
      <c r="A122" t="s">
        <v>16</v>
      </c>
      <c r="B122">
        <v>4</v>
      </c>
      <c r="C122" s="2">
        <v>81895000.000000015</v>
      </c>
      <c r="E122" t="s">
        <v>16</v>
      </c>
      <c r="F122">
        <v>4</v>
      </c>
      <c r="G122" s="2">
        <v>43989099.586252369</v>
      </c>
      <c r="H122" s="2">
        <v>59010845.7691539</v>
      </c>
      <c r="I122" s="2">
        <v>49475840.3644244</v>
      </c>
      <c r="J122" s="2">
        <v>100974513.80033299</v>
      </c>
      <c r="K122">
        <v>75126666.666666672</v>
      </c>
    </row>
    <row r="123" spans="1:11">
      <c r="A123" t="s">
        <v>17</v>
      </c>
      <c r="B123">
        <v>4</v>
      </c>
      <c r="C123" s="2">
        <v>144680000</v>
      </c>
      <c r="E123" t="s">
        <v>17</v>
      </c>
      <c r="F123">
        <v>4</v>
      </c>
      <c r="G123" s="2">
        <v>30152270.961158443</v>
      </c>
      <c r="H123" s="2">
        <v>50745512.028757602</v>
      </c>
      <c r="I123" s="2">
        <v>47541941.850255102</v>
      </c>
      <c r="J123" s="2">
        <v>63258248.8415066</v>
      </c>
      <c r="K123">
        <v>126376666.66666669</v>
      </c>
    </row>
    <row r="124" spans="1:11">
      <c r="A124" t="s">
        <v>18</v>
      </c>
      <c r="B124">
        <v>4</v>
      </c>
      <c r="C124" s="2">
        <v>611373333.33333337</v>
      </c>
      <c r="E124" t="s">
        <v>18</v>
      </c>
      <c r="F124">
        <v>4</v>
      </c>
      <c r="G124" s="2">
        <v>338696255.39732903</v>
      </c>
      <c r="H124" s="2">
        <v>450776464.75654399</v>
      </c>
      <c r="I124" s="2">
        <v>323518643.84311199</v>
      </c>
      <c r="J124" s="2">
        <v>633400404.30172598</v>
      </c>
      <c r="K124">
        <v>532080000.00000006</v>
      </c>
    </row>
    <row r="125" spans="1:11">
      <c r="A125" t="s">
        <v>21</v>
      </c>
      <c r="B125">
        <v>4</v>
      </c>
      <c r="C125" s="2">
        <v>24548333.33333334</v>
      </c>
      <c r="E125" t="s">
        <v>21</v>
      </c>
      <c r="F125">
        <v>4</v>
      </c>
      <c r="G125" s="2">
        <v>9024922.5344205331</v>
      </c>
      <c r="H125" s="2">
        <v>11989473.814818799</v>
      </c>
      <c r="I125" s="2">
        <v>8559514.8518896606</v>
      </c>
      <c r="J125" s="2">
        <v>17567457.576269999</v>
      </c>
      <c r="K125">
        <v>19760000</v>
      </c>
    </row>
    <row r="126" spans="1:11">
      <c r="A126" t="s">
        <v>19</v>
      </c>
      <c r="B126">
        <v>4</v>
      </c>
      <c r="C126" s="2">
        <v>58288333.333333328</v>
      </c>
      <c r="E126" t="s">
        <v>19</v>
      </c>
      <c r="F126">
        <v>4</v>
      </c>
      <c r="G126" s="2">
        <v>11197950.249672454</v>
      </c>
      <c r="H126" s="2">
        <v>16007474.727163401</v>
      </c>
      <c r="I126" s="2">
        <v>11031030.4458465</v>
      </c>
      <c r="J126" s="2">
        <v>26614735.915150002</v>
      </c>
      <c r="K126">
        <v>48933333.333333336</v>
      </c>
    </row>
    <row r="127" spans="1:11">
      <c r="A127" t="s">
        <v>20</v>
      </c>
      <c r="B127">
        <v>4</v>
      </c>
      <c r="C127" s="2">
        <v>19261666.666666672</v>
      </c>
      <c r="E127" t="s">
        <v>20</v>
      </c>
      <c r="F127">
        <v>4</v>
      </c>
      <c r="G127" s="2">
        <v>9322977.4208784942</v>
      </c>
      <c r="H127" s="2">
        <v>8023072.25800322</v>
      </c>
      <c r="I127" s="2">
        <v>7366909.5780996401</v>
      </c>
      <c r="J127" s="2">
        <v>7278683.4474566597</v>
      </c>
      <c r="K127">
        <v>19176666.666666668</v>
      </c>
    </row>
    <row r="128" spans="1:11">
      <c r="A128" t="s">
        <v>22</v>
      </c>
      <c r="B128">
        <v>4</v>
      </c>
      <c r="C128" s="2">
        <v>12393333.33333333</v>
      </c>
      <c r="E128" t="s">
        <v>22</v>
      </c>
      <c r="F128">
        <v>4</v>
      </c>
      <c r="G128" s="2">
        <v>10315992.917847024</v>
      </c>
      <c r="H128" s="2">
        <v>15614131.644925101</v>
      </c>
      <c r="I128" s="2">
        <v>7340346.6023150701</v>
      </c>
      <c r="J128" s="2">
        <v>9896381.8614233304</v>
      </c>
      <c r="K128">
        <v>12406666.66666667</v>
      </c>
    </row>
    <row r="129" spans="1:11">
      <c r="A129" t="s">
        <v>23</v>
      </c>
      <c r="B129">
        <v>4</v>
      </c>
      <c r="C129" s="2">
        <v>383306666.66666669</v>
      </c>
      <c r="E129" t="s">
        <v>23</v>
      </c>
      <c r="F129">
        <v>4</v>
      </c>
      <c r="G129" s="2">
        <v>120946624.04607764</v>
      </c>
      <c r="H129" s="2">
        <v>157848682.942626</v>
      </c>
      <c r="I129" s="2">
        <v>136801884.202586</v>
      </c>
      <c r="J129" s="2">
        <v>298431237.11258298</v>
      </c>
      <c r="K129">
        <v>329143333.33333337</v>
      </c>
    </row>
    <row r="130" spans="1:11">
      <c r="A130" t="s">
        <v>32</v>
      </c>
      <c r="B130">
        <v>4</v>
      </c>
      <c r="C130" s="2">
        <v>44250000</v>
      </c>
      <c r="E130" t="s">
        <v>32</v>
      </c>
      <c r="F130">
        <v>4</v>
      </c>
      <c r="G130" s="2">
        <v>42120000</v>
      </c>
      <c r="H130" s="2">
        <v>40081343.780131198</v>
      </c>
      <c r="I130" s="2">
        <v>36229189.999999903</v>
      </c>
      <c r="J130" s="2">
        <v>36229189.999999903</v>
      </c>
      <c r="K130">
        <v>42400000</v>
      </c>
    </row>
    <row r="131" spans="1:11">
      <c r="A131" t="s">
        <v>33</v>
      </c>
      <c r="B131">
        <v>4</v>
      </c>
      <c r="C131" s="2">
        <v>51600000</v>
      </c>
      <c r="E131" t="s">
        <v>33</v>
      </c>
      <c r="F131">
        <v>4</v>
      </c>
      <c r="G131" s="2">
        <v>42120000</v>
      </c>
      <c r="H131" s="2">
        <v>40081343.780131198</v>
      </c>
      <c r="I131" s="2">
        <v>47403720</v>
      </c>
      <c r="J131" s="2">
        <v>47403720</v>
      </c>
      <c r="K131">
        <v>48500000</v>
      </c>
    </row>
    <row r="132" spans="1:11">
      <c r="A132" t="s">
        <v>34</v>
      </c>
      <c r="B132">
        <v>4</v>
      </c>
      <c r="C132" s="2">
        <v>33600000</v>
      </c>
      <c r="E132" t="s">
        <v>34</v>
      </c>
      <c r="F132">
        <v>4</v>
      </c>
      <c r="G132" s="2">
        <v>31200000</v>
      </c>
      <c r="H132" s="2">
        <v>29689884.281578701</v>
      </c>
      <c r="I132" s="2">
        <v>29138240</v>
      </c>
      <c r="J132" s="2">
        <v>29138240</v>
      </c>
      <c r="K132">
        <v>32400000</v>
      </c>
    </row>
    <row r="133" spans="1:11">
      <c r="A133" t="s">
        <v>35</v>
      </c>
      <c r="B133">
        <v>4</v>
      </c>
      <c r="C133" s="2">
        <v>27300000</v>
      </c>
      <c r="E133" t="s">
        <v>35</v>
      </c>
      <c r="F133">
        <v>4</v>
      </c>
      <c r="G133" s="2">
        <v>21840000.000000004</v>
      </c>
      <c r="H133" s="2">
        <v>20782918.997105099</v>
      </c>
      <c r="I133" s="2">
        <v>24997350</v>
      </c>
      <c r="J133" s="2">
        <v>24997350</v>
      </c>
      <c r="K133">
        <v>26100000</v>
      </c>
    </row>
    <row r="134" spans="1:11">
      <c r="A134" t="s">
        <v>36</v>
      </c>
      <c r="B134">
        <v>4</v>
      </c>
      <c r="C134" s="2">
        <v>24150000</v>
      </c>
      <c r="E134" t="s">
        <v>36</v>
      </c>
      <c r="F134">
        <v>4</v>
      </c>
      <c r="G134" s="2">
        <v>18720000</v>
      </c>
      <c r="H134" s="2">
        <v>17813930.5689472</v>
      </c>
      <c r="I134" s="2">
        <v>24744130</v>
      </c>
      <c r="J134" s="2">
        <v>24744130</v>
      </c>
      <c r="K134">
        <v>22800000</v>
      </c>
    </row>
    <row r="135" spans="1:11">
      <c r="A135" t="s">
        <v>24</v>
      </c>
      <c r="B135">
        <v>4</v>
      </c>
      <c r="C135" s="2">
        <v>344420000</v>
      </c>
      <c r="E135" t="s">
        <v>24</v>
      </c>
      <c r="F135">
        <v>4</v>
      </c>
      <c r="G135" s="2">
        <v>182905919.94822943</v>
      </c>
      <c r="H135" s="2">
        <v>278050842.01656097</v>
      </c>
      <c r="I135" s="2">
        <v>183147729.35793799</v>
      </c>
      <c r="J135" s="2">
        <v>307112774.43929303</v>
      </c>
      <c r="K135">
        <v>298133333.33333331</v>
      </c>
    </row>
    <row r="136" spans="1:11">
      <c r="A136" t="s">
        <v>25</v>
      </c>
      <c r="B136">
        <v>4</v>
      </c>
      <c r="C136" s="2">
        <v>143738333.33333328</v>
      </c>
      <c r="E136" t="s">
        <v>25</v>
      </c>
      <c r="F136">
        <v>4</v>
      </c>
      <c r="G136" s="2">
        <v>49996632.762793191</v>
      </c>
      <c r="H136" s="2">
        <v>101658648.195481</v>
      </c>
      <c r="I136" s="2">
        <v>51732452.043878697</v>
      </c>
      <c r="J136" s="2">
        <v>86165453.913816601</v>
      </c>
      <c r="K136">
        <v>141536666.66666669</v>
      </c>
    </row>
    <row r="137" spans="1:11">
      <c r="A137" t="s">
        <v>26</v>
      </c>
      <c r="B137">
        <v>4</v>
      </c>
      <c r="C137" s="2">
        <v>85463333.333333343</v>
      </c>
      <c r="E137" t="s">
        <v>26</v>
      </c>
      <c r="F137">
        <v>4</v>
      </c>
      <c r="G137" s="2">
        <v>58729640.426275268</v>
      </c>
      <c r="H137" s="2">
        <v>175435851.78738901</v>
      </c>
      <c r="I137" s="2">
        <v>66351396.353162803</v>
      </c>
      <c r="J137" s="2">
        <v>134492619.41964301</v>
      </c>
      <c r="K137">
        <v>76440000</v>
      </c>
    </row>
    <row r="138" spans="1:11">
      <c r="A138" t="s">
        <v>27</v>
      </c>
      <c r="B138">
        <v>4</v>
      </c>
      <c r="C138" s="2">
        <v>44285000</v>
      </c>
      <c r="E138" t="s">
        <v>27</v>
      </c>
      <c r="F138">
        <v>4</v>
      </c>
      <c r="G138" s="2">
        <v>45869014.164305955</v>
      </c>
      <c r="H138" s="2">
        <v>78070658.224625707</v>
      </c>
      <c r="I138" s="2">
        <v>34083447.385515898</v>
      </c>
      <c r="J138" s="2">
        <v>46611236.104273297</v>
      </c>
      <c r="K138">
        <v>42233333.333333328</v>
      </c>
    </row>
    <row r="139" spans="1:11">
      <c r="A139" t="s">
        <v>30</v>
      </c>
      <c r="B139">
        <v>4</v>
      </c>
      <c r="C139" s="2">
        <v>21691666.666666672</v>
      </c>
      <c r="E139" t="s">
        <v>30</v>
      </c>
      <c r="F139">
        <v>4</v>
      </c>
      <c r="G139" s="2">
        <v>34650485.314696267</v>
      </c>
      <c r="H139" s="2">
        <v>47138557.542744197</v>
      </c>
      <c r="I139" s="2">
        <v>31013720.965417299</v>
      </c>
      <c r="J139" s="2">
        <v>55499826.5055466</v>
      </c>
      <c r="K139">
        <v>20506666.666666672</v>
      </c>
    </row>
    <row r="140" spans="1:11">
      <c r="A140" t="s">
        <v>29</v>
      </c>
      <c r="B140">
        <v>4</v>
      </c>
      <c r="C140" s="2">
        <v>607726666.66666675</v>
      </c>
      <c r="E140" t="s">
        <v>29</v>
      </c>
      <c r="F140">
        <v>4</v>
      </c>
      <c r="G140" s="2">
        <v>15702909.172326798</v>
      </c>
      <c r="H140" s="2">
        <v>22940289.461932901</v>
      </c>
      <c r="I140" s="2">
        <v>18139884.523323499</v>
      </c>
      <c r="J140" s="2">
        <v>27010303.2341833</v>
      </c>
      <c r="K140">
        <v>573000000</v>
      </c>
    </row>
    <row r="141" spans="1:11">
      <c r="A141" t="s">
        <v>10</v>
      </c>
      <c r="B141">
        <v>4</v>
      </c>
      <c r="C141" s="2">
        <v>344701666.66666669</v>
      </c>
      <c r="E141" t="s">
        <v>10</v>
      </c>
      <c r="F141">
        <v>4</v>
      </c>
      <c r="G141" s="2">
        <v>270853027.43058878</v>
      </c>
      <c r="H141" s="2">
        <v>485487408.41987997</v>
      </c>
      <c r="I141" s="2">
        <v>262384328.00974801</v>
      </c>
      <c r="J141" s="2">
        <v>465891290.63125998</v>
      </c>
      <c r="K141">
        <v>327440000</v>
      </c>
    </row>
    <row r="142" spans="1:11">
      <c r="A142" t="s">
        <v>28</v>
      </c>
      <c r="B142">
        <v>4</v>
      </c>
      <c r="C142" s="2">
        <v>92244999.999999985</v>
      </c>
      <c r="E142" t="s">
        <v>28</v>
      </c>
      <c r="F142">
        <v>4</v>
      </c>
      <c r="G142" s="2">
        <v>154223581.80789483</v>
      </c>
      <c r="H142" s="2">
        <v>187383609.62150899</v>
      </c>
      <c r="I142" s="2">
        <v>132503769.282683</v>
      </c>
      <c r="J142" s="2">
        <v>212541756.86255601</v>
      </c>
      <c r="K142">
        <v>89556666.666666657</v>
      </c>
    </row>
    <row r="143" spans="1:11">
      <c r="A143" t="s">
        <v>7</v>
      </c>
      <c r="B143">
        <v>4</v>
      </c>
      <c r="C143" s="2">
        <v>50140000</v>
      </c>
      <c r="E143" t="s">
        <v>7</v>
      </c>
      <c r="F143">
        <v>4</v>
      </c>
      <c r="G143" s="2">
        <v>66922710.131354995</v>
      </c>
      <c r="H143" s="2">
        <v>85900807.285328194</v>
      </c>
      <c r="I143" s="2">
        <v>71500000</v>
      </c>
      <c r="J143" s="2">
        <v>68180127.228106603</v>
      </c>
      <c r="K143">
        <v>50006666.666666664</v>
      </c>
    </row>
    <row r="144" spans="1:11">
      <c r="A144" t="s">
        <v>3</v>
      </c>
      <c r="B144">
        <v>5</v>
      </c>
      <c r="C144" s="2">
        <v>278676666.66666669</v>
      </c>
      <c r="E144" t="s">
        <v>3</v>
      </c>
      <c r="F144">
        <v>5</v>
      </c>
      <c r="G144" s="2">
        <v>84942493.471534178</v>
      </c>
      <c r="H144" s="2">
        <v>128376940.174279</v>
      </c>
      <c r="I144" s="2">
        <v>71437724.497658595</v>
      </c>
      <c r="J144" s="2">
        <v>154448258.100036</v>
      </c>
      <c r="K144">
        <v>246588333.33333331</v>
      </c>
    </row>
    <row r="145" spans="1:11">
      <c r="A145" t="s">
        <v>5</v>
      </c>
      <c r="B145">
        <v>5</v>
      </c>
      <c r="C145" s="2">
        <v>207866666.66666672</v>
      </c>
      <c r="E145" t="s">
        <v>5</v>
      </c>
      <c r="F145">
        <v>5</v>
      </c>
      <c r="G145" s="2">
        <v>108031489.40671732</v>
      </c>
      <c r="H145" s="2">
        <v>127244940.174233</v>
      </c>
      <c r="I145" s="2">
        <v>102383108.446271</v>
      </c>
      <c r="J145" s="2">
        <v>231653044.73635</v>
      </c>
      <c r="K145">
        <v>191450000</v>
      </c>
    </row>
    <row r="146" spans="1:11">
      <c r="A146" t="s">
        <v>4</v>
      </c>
      <c r="B146">
        <v>5</v>
      </c>
      <c r="C146" s="2">
        <v>14166666.66666667</v>
      </c>
      <c r="E146" t="s">
        <v>4</v>
      </c>
      <c r="F146">
        <v>5</v>
      </c>
      <c r="G146" s="2">
        <v>14620033.994334277</v>
      </c>
      <c r="H146" s="2">
        <v>34261983.230793998</v>
      </c>
      <c r="I146" s="2">
        <v>13864371.4551019</v>
      </c>
      <c r="J146" s="2">
        <v>14054445.16499</v>
      </c>
      <c r="K146">
        <v>13861666.66666667</v>
      </c>
    </row>
    <row r="147" spans="1:11">
      <c r="A147" t="s">
        <v>6</v>
      </c>
      <c r="B147">
        <v>5</v>
      </c>
      <c r="C147" s="2">
        <v>53636666.666666664</v>
      </c>
      <c r="E147" t="s">
        <v>6</v>
      </c>
      <c r="F147">
        <v>5</v>
      </c>
      <c r="G147" s="2">
        <v>34338643.984449446</v>
      </c>
      <c r="H147" s="2">
        <v>74313582.785339296</v>
      </c>
      <c r="I147" s="2">
        <v>32754403.4177715</v>
      </c>
      <c r="J147" s="2">
        <v>61933070.472188301</v>
      </c>
      <c r="K147">
        <v>50630000</v>
      </c>
    </row>
    <row r="148" spans="1:11">
      <c r="A148" t="s">
        <v>15</v>
      </c>
      <c r="B148">
        <v>5</v>
      </c>
      <c r="C148" s="2">
        <v>25736666.666666672</v>
      </c>
      <c r="E148" t="s">
        <v>15</v>
      </c>
      <c r="F148">
        <v>5</v>
      </c>
      <c r="G148" s="2">
        <v>20404530.413878355</v>
      </c>
      <c r="H148" s="2">
        <v>24565953.6414515</v>
      </c>
      <c r="I148" s="2">
        <v>18606523.7809413</v>
      </c>
      <c r="J148" s="2">
        <v>32559376.612163302</v>
      </c>
      <c r="K148">
        <v>23823333.333333332</v>
      </c>
    </row>
    <row r="149" spans="1:11">
      <c r="A149" t="s">
        <v>8</v>
      </c>
      <c r="B149">
        <v>5</v>
      </c>
      <c r="C149" s="2">
        <v>120146666.6666667</v>
      </c>
      <c r="E149" t="s">
        <v>8</v>
      </c>
      <c r="F149">
        <v>5</v>
      </c>
      <c r="G149" s="2">
        <v>77246900.624004304</v>
      </c>
      <c r="H149" s="2">
        <v>134772836.99096799</v>
      </c>
      <c r="I149" s="2">
        <v>71585587.983486801</v>
      </c>
      <c r="J149" s="2">
        <v>139059725.951774</v>
      </c>
      <c r="K149">
        <v>114916666.6666667</v>
      </c>
    </row>
    <row r="150" spans="1:11">
      <c r="A150" t="s">
        <v>2</v>
      </c>
      <c r="B150">
        <v>5</v>
      </c>
      <c r="C150" s="2">
        <v>175643333.33333328</v>
      </c>
      <c r="E150" t="s">
        <v>2</v>
      </c>
      <c r="F150">
        <v>5</v>
      </c>
      <c r="G150" s="2">
        <v>43554333.396761298</v>
      </c>
      <c r="H150" s="2">
        <v>60489335.179081798</v>
      </c>
      <c r="I150" s="2">
        <v>51235468.560249902</v>
      </c>
      <c r="J150" s="2">
        <v>96277164.196991593</v>
      </c>
      <c r="K150">
        <v>158533333.33333331</v>
      </c>
    </row>
    <row r="151" spans="1:11">
      <c r="A151" t="s">
        <v>9</v>
      </c>
      <c r="B151">
        <v>5</v>
      </c>
      <c r="C151" s="2">
        <v>33456666.666666664</v>
      </c>
      <c r="E151" t="s">
        <v>9</v>
      </c>
      <c r="F151">
        <v>5</v>
      </c>
      <c r="G151" s="2">
        <v>9262827.9825936481</v>
      </c>
      <c r="H151" s="2">
        <v>16147621.1230087</v>
      </c>
      <c r="I151" s="2">
        <v>10494688.821060101</v>
      </c>
      <c r="J151" s="2">
        <v>11004893.1709866</v>
      </c>
      <c r="K151">
        <v>24596666.66666666</v>
      </c>
    </row>
    <row r="152" spans="1:11">
      <c r="A152" t="s">
        <v>11</v>
      </c>
      <c r="B152">
        <v>5</v>
      </c>
      <c r="C152" s="2">
        <v>420420000</v>
      </c>
      <c r="E152" t="s">
        <v>11</v>
      </c>
      <c r="F152">
        <v>5</v>
      </c>
      <c r="G152" s="2">
        <v>95466708.045895234</v>
      </c>
      <c r="H152" s="2">
        <v>113360878.49300601</v>
      </c>
      <c r="I152" s="2">
        <v>99259415.978390396</v>
      </c>
      <c r="J152" s="2">
        <v>200990696.44692999</v>
      </c>
      <c r="K152">
        <v>360938333.33333337</v>
      </c>
    </row>
    <row r="153" spans="1:11">
      <c r="A153" t="s">
        <v>12</v>
      </c>
      <c r="B153">
        <v>5</v>
      </c>
      <c r="C153" s="2">
        <v>861783333.33333325</v>
      </c>
      <c r="E153" t="s">
        <v>12</v>
      </c>
      <c r="F153">
        <v>5</v>
      </c>
      <c r="G153" s="2">
        <v>564595804.31309235</v>
      </c>
      <c r="H153" s="2">
        <v>872362620.83780003</v>
      </c>
      <c r="I153" s="2">
        <v>427073040.90162498</v>
      </c>
      <c r="J153" s="2">
        <v>797428461.14405096</v>
      </c>
      <c r="K153">
        <v>772923333.33333337</v>
      </c>
    </row>
    <row r="154" spans="1:11">
      <c r="A154" t="s">
        <v>1</v>
      </c>
      <c r="B154">
        <v>5</v>
      </c>
      <c r="C154" s="2">
        <v>1496800000</v>
      </c>
      <c r="E154" t="s">
        <v>1</v>
      </c>
      <c r="F154">
        <v>5</v>
      </c>
      <c r="G154" s="2">
        <v>608702513.952142</v>
      </c>
      <c r="H154" s="2">
        <v>1086827426.9681201</v>
      </c>
      <c r="I154" s="2">
        <v>598834458.06618595</v>
      </c>
      <c r="J154" s="2">
        <v>1449169582.8715899</v>
      </c>
      <c r="K154">
        <v>1379005000</v>
      </c>
    </row>
    <row r="155" spans="1:11">
      <c r="A155" t="s">
        <v>13</v>
      </c>
      <c r="B155">
        <v>5</v>
      </c>
      <c r="C155" s="2">
        <v>876653333.33333325</v>
      </c>
      <c r="E155" t="s">
        <v>13</v>
      </c>
      <c r="F155">
        <v>5</v>
      </c>
      <c r="G155" s="2">
        <v>431965500.53936982</v>
      </c>
      <c r="H155" s="2">
        <v>527383679.073241</v>
      </c>
      <c r="I155" s="2">
        <v>421450711.90381402</v>
      </c>
      <c r="J155" s="2">
        <v>859305425.54524601</v>
      </c>
      <c r="K155">
        <v>829701666.66666663</v>
      </c>
    </row>
    <row r="156" spans="1:11">
      <c r="A156" t="s">
        <v>14</v>
      </c>
      <c r="B156">
        <v>5</v>
      </c>
      <c r="C156" s="2">
        <v>214226666.66666669</v>
      </c>
      <c r="E156" t="s">
        <v>14</v>
      </c>
      <c r="F156">
        <v>5</v>
      </c>
      <c r="G156" s="2">
        <v>57550751.453247502</v>
      </c>
      <c r="H156" s="2">
        <v>168660839.56769699</v>
      </c>
      <c r="I156" s="2">
        <v>63700631.0225216</v>
      </c>
      <c r="J156" s="2">
        <v>114909877.31835499</v>
      </c>
      <c r="K156">
        <v>169013333.33333328</v>
      </c>
    </row>
    <row r="157" spans="1:11">
      <c r="A157" t="s">
        <v>16</v>
      </c>
      <c r="B157">
        <v>5</v>
      </c>
      <c r="C157" s="2">
        <v>88663333.333333343</v>
      </c>
      <c r="E157" t="s">
        <v>16</v>
      </c>
      <c r="F157">
        <v>5</v>
      </c>
      <c r="G157" s="2">
        <v>49110505.337406434</v>
      </c>
      <c r="H157" s="2">
        <v>79134249.321259797</v>
      </c>
      <c r="I157" s="2">
        <v>50885079.688589402</v>
      </c>
      <c r="J157" s="2">
        <v>110549322.68833999</v>
      </c>
      <c r="K157">
        <v>81895000.000000015</v>
      </c>
    </row>
    <row r="158" spans="1:11">
      <c r="A158" t="s">
        <v>17</v>
      </c>
      <c r="B158">
        <v>5</v>
      </c>
      <c r="C158" s="2">
        <v>162983333.33333328</v>
      </c>
      <c r="E158" t="s">
        <v>17</v>
      </c>
      <c r="F158">
        <v>5</v>
      </c>
      <c r="G158" s="2">
        <v>33150729.708497215</v>
      </c>
      <c r="H158" s="2">
        <v>59622219.576916203</v>
      </c>
      <c r="I158" s="2">
        <v>48851342.056549497</v>
      </c>
      <c r="J158" s="2">
        <v>75387937.864608303</v>
      </c>
      <c r="K158">
        <v>144680000</v>
      </c>
    </row>
    <row r="159" spans="1:11">
      <c r="A159" t="s">
        <v>18</v>
      </c>
      <c r="B159">
        <v>5</v>
      </c>
      <c r="C159" s="2">
        <v>690666666.66666663</v>
      </c>
      <c r="E159" t="s">
        <v>18</v>
      </c>
      <c r="F159">
        <v>5</v>
      </c>
      <c r="G159" s="2">
        <v>372058380.99846733</v>
      </c>
      <c r="H159" s="2">
        <v>514090918.546875</v>
      </c>
      <c r="I159" s="2">
        <v>336263079.61655098</v>
      </c>
      <c r="J159" s="2">
        <v>706801293.37030602</v>
      </c>
      <c r="K159">
        <v>611373333.33333337</v>
      </c>
    </row>
    <row r="160" spans="1:11">
      <c r="A160" t="s">
        <v>21</v>
      </c>
      <c r="B160">
        <v>5</v>
      </c>
      <c r="C160" s="2">
        <v>29336666.666666668</v>
      </c>
      <c r="E160" t="s">
        <v>21</v>
      </c>
      <c r="F160">
        <v>5</v>
      </c>
      <c r="G160" s="2">
        <v>10025136.459298695</v>
      </c>
      <c r="H160" s="2">
        <v>14967316.8690525</v>
      </c>
      <c r="I160" s="2">
        <v>8905263.4316046406</v>
      </c>
      <c r="J160" s="2">
        <v>19342924.037481599</v>
      </c>
      <c r="K160">
        <v>24548333.33333334</v>
      </c>
    </row>
    <row r="161" spans="1:11">
      <c r="A161" t="s">
        <v>19</v>
      </c>
      <c r="B161">
        <v>5</v>
      </c>
      <c r="C161" s="2">
        <v>67643333.333333328</v>
      </c>
      <c r="E161" t="s">
        <v>19</v>
      </c>
      <c r="F161">
        <v>5</v>
      </c>
      <c r="G161" s="2">
        <v>11860676.242115185</v>
      </c>
      <c r="H161" s="2">
        <v>25654529.302201699</v>
      </c>
      <c r="I161" s="2">
        <v>11813443.333823301</v>
      </c>
      <c r="J161" s="2">
        <v>28280446.174288299</v>
      </c>
      <c r="K161">
        <v>58288333.333333328</v>
      </c>
    </row>
    <row r="162" spans="1:11">
      <c r="A162" t="s">
        <v>20</v>
      </c>
      <c r="B162">
        <v>5</v>
      </c>
      <c r="C162" s="2">
        <v>19346666.666666672</v>
      </c>
      <c r="E162" t="s">
        <v>20</v>
      </c>
      <c r="F162">
        <v>5</v>
      </c>
      <c r="G162" s="2">
        <v>10669386.796203317</v>
      </c>
      <c r="H162" s="2">
        <v>10537287.249467799</v>
      </c>
      <c r="I162" s="2">
        <v>7414900.5940568103</v>
      </c>
      <c r="J162" s="2">
        <v>6739323.5576633299</v>
      </c>
      <c r="K162">
        <v>19261666.666666672</v>
      </c>
    </row>
    <row r="163" spans="1:11">
      <c r="A163" t="s">
        <v>22</v>
      </c>
      <c r="B163">
        <v>5</v>
      </c>
      <c r="C163" s="2">
        <v>12380000</v>
      </c>
      <c r="E163" t="s">
        <v>22</v>
      </c>
      <c r="F163">
        <v>5</v>
      </c>
      <c r="G163" s="2">
        <v>10793468.838526908</v>
      </c>
      <c r="H163" s="2">
        <v>17130991.615396999</v>
      </c>
      <c r="I163" s="2">
        <v>7498674.3674603701</v>
      </c>
      <c r="J163" s="2">
        <v>10331297.0451733</v>
      </c>
      <c r="K163">
        <v>12393333.33333333</v>
      </c>
    </row>
    <row r="164" spans="1:11">
      <c r="A164" t="s">
        <v>23</v>
      </c>
      <c r="B164">
        <v>5</v>
      </c>
      <c r="C164" s="2">
        <v>437470000</v>
      </c>
      <c r="E164" t="s">
        <v>23</v>
      </c>
      <c r="F164">
        <v>5</v>
      </c>
      <c r="G164" s="2">
        <v>127544452.7305247</v>
      </c>
      <c r="H164" s="2">
        <v>191870644.66673699</v>
      </c>
      <c r="I164" s="2">
        <v>142166932.95720699</v>
      </c>
      <c r="J164" s="2">
        <v>350612482.310835</v>
      </c>
      <c r="K164">
        <v>383306666.66666669</v>
      </c>
    </row>
    <row r="165" spans="1:11">
      <c r="A165" t="s">
        <v>32</v>
      </c>
      <c r="B165">
        <v>5</v>
      </c>
      <c r="C165" s="2">
        <v>46100000</v>
      </c>
      <c r="E165" t="s">
        <v>32</v>
      </c>
      <c r="F165">
        <v>5</v>
      </c>
      <c r="G165" s="2">
        <v>42930000</v>
      </c>
      <c r="H165" s="2">
        <v>44662008.468322799</v>
      </c>
      <c r="I165" s="2">
        <v>39293090.788296498</v>
      </c>
      <c r="J165" s="2">
        <v>39293090.788296498</v>
      </c>
      <c r="K165">
        <v>44250000</v>
      </c>
    </row>
    <row r="166" spans="1:11">
      <c r="A166" t="s">
        <v>33</v>
      </c>
      <c r="B166">
        <v>5</v>
      </c>
      <c r="C166" s="2">
        <v>54700000</v>
      </c>
      <c r="E166" t="s">
        <v>33</v>
      </c>
      <c r="F166">
        <v>5</v>
      </c>
      <c r="G166" s="2">
        <v>42930000</v>
      </c>
      <c r="H166" s="2">
        <v>44662008.468322799</v>
      </c>
      <c r="I166" s="2">
        <v>51412650.232119098</v>
      </c>
      <c r="J166" s="2">
        <v>51412650.232119098</v>
      </c>
      <c r="K166">
        <v>51600000</v>
      </c>
    </row>
    <row r="167" spans="1:11">
      <c r="A167" t="s">
        <v>34</v>
      </c>
      <c r="B167">
        <v>5</v>
      </c>
      <c r="C167" s="2">
        <v>34800000</v>
      </c>
      <c r="E167" t="s">
        <v>34</v>
      </c>
      <c r="F167">
        <v>5</v>
      </c>
      <c r="G167" s="2">
        <v>31800000</v>
      </c>
      <c r="H167" s="2">
        <v>33082969.235794701</v>
      </c>
      <c r="I167" s="2">
        <v>31602459.501058999</v>
      </c>
      <c r="J167" s="2">
        <v>31602459.501058999</v>
      </c>
      <c r="K167">
        <v>33600000</v>
      </c>
    </row>
    <row r="168" spans="1:11">
      <c r="A168" t="s">
        <v>35</v>
      </c>
      <c r="B168">
        <v>5</v>
      </c>
      <c r="C168" s="2">
        <v>28500000</v>
      </c>
      <c r="E168" t="s">
        <v>35</v>
      </c>
      <c r="F168">
        <v>5</v>
      </c>
      <c r="G168" s="2">
        <v>22260000.000000004</v>
      </c>
      <c r="H168" s="2">
        <v>23158078.4650562</v>
      </c>
      <c r="I168" s="2">
        <v>27111374.6406371</v>
      </c>
      <c r="J168" s="2">
        <v>27111374.6406371</v>
      </c>
      <c r="K168">
        <v>27300000</v>
      </c>
    </row>
    <row r="169" spans="1:11">
      <c r="A169" t="s">
        <v>36</v>
      </c>
      <c r="B169">
        <v>5</v>
      </c>
      <c r="C169" s="2">
        <v>25500000</v>
      </c>
      <c r="E169" t="s">
        <v>36</v>
      </c>
      <c r="F169">
        <v>5</v>
      </c>
      <c r="G169" s="2">
        <v>19080000</v>
      </c>
      <c r="H169" s="2">
        <v>19849781.541476801</v>
      </c>
      <c r="I169" s="2">
        <v>26836739.837887902</v>
      </c>
      <c r="J169" s="2">
        <v>26836739.837887902</v>
      </c>
      <c r="K169">
        <v>24150000</v>
      </c>
    </row>
    <row r="170" spans="1:11">
      <c r="A170" t="s">
        <v>24</v>
      </c>
      <c r="B170">
        <v>5</v>
      </c>
      <c r="C170" s="2">
        <v>390706666.66666657</v>
      </c>
      <c r="E170" t="s">
        <v>24</v>
      </c>
      <c r="F170">
        <v>5</v>
      </c>
      <c r="G170" s="2">
        <v>205177544.9778879</v>
      </c>
      <c r="H170" s="2">
        <v>342462140.74671102</v>
      </c>
      <c r="I170" s="2">
        <v>191567681.429012</v>
      </c>
      <c r="J170" s="2">
        <v>343823049.95922601</v>
      </c>
      <c r="K170">
        <v>344420000</v>
      </c>
    </row>
    <row r="171" spans="1:11">
      <c r="A171" t="s">
        <v>25</v>
      </c>
      <c r="B171">
        <v>5</v>
      </c>
      <c r="C171" s="2">
        <v>145940000</v>
      </c>
      <c r="E171" t="s">
        <v>25</v>
      </c>
      <c r="F171">
        <v>5</v>
      </c>
      <c r="G171" s="2">
        <v>53888189.942991517</v>
      </c>
      <c r="H171" s="2">
        <v>112915790.01605199</v>
      </c>
      <c r="I171" s="2">
        <v>54715005.105475701</v>
      </c>
      <c r="J171" s="2">
        <v>95459693.928189993</v>
      </c>
      <c r="K171">
        <v>143738333.33333328</v>
      </c>
    </row>
    <row r="172" spans="1:11">
      <c r="A172" t="s">
        <v>26</v>
      </c>
      <c r="B172">
        <v>5</v>
      </c>
      <c r="C172" s="2">
        <v>94486666.666666672</v>
      </c>
      <c r="E172" t="s">
        <v>26</v>
      </c>
      <c r="F172">
        <v>5</v>
      </c>
      <c r="G172" s="2">
        <v>65146806.940634668</v>
      </c>
      <c r="H172" s="2">
        <v>205949660.44747701</v>
      </c>
      <c r="I172" s="2">
        <v>67462134.337390706</v>
      </c>
      <c r="J172" s="2">
        <v>150261966.24046999</v>
      </c>
      <c r="K172">
        <v>85463333.333333343</v>
      </c>
    </row>
    <row r="173" spans="1:11">
      <c r="A173" t="s">
        <v>27</v>
      </c>
      <c r="B173">
        <v>5</v>
      </c>
      <c r="C173" s="2">
        <v>46336666.666666672</v>
      </c>
      <c r="E173" t="s">
        <v>27</v>
      </c>
      <c r="F173">
        <v>5</v>
      </c>
      <c r="G173" s="2">
        <v>47992062.322946168</v>
      </c>
      <c r="H173" s="2">
        <v>85654958.076985106</v>
      </c>
      <c r="I173" s="2">
        <v>34818611.042678103</v>
      </c>
      <c r="J173" s="2">
        <v>47033895.356380001</v>
      </c>
      <c r="K173">
        <v>44285000</v>
      </c>
    </row>
    <row r="174" spans="1:11">
      <c r="A174" t="s">
        <v>30</v>
      </c>
      <c r="B174">
        <v>5</v>
      </c>
      <c r="C174" s="2">
        <v>22876666.666666668</v>
      </c>
      <c r="E174" t="s">
        <v>30</v>
      </c>
      <c r="F174">
        <v>5</v>
      </c>
      <c r="G174" s="2">
        <v>36788815.360561863</v>
      </c>
      <c r="H174" s="2">
        <v>58005017.8005303</v>
      </c>
      <c r="I174" s="2">
        <v>32184601.158264</v>
      </c>
      <c r="J174" s="2">
        <v>62279650.692803301</v>
      </c>
      <c r="K174">
        <v>21691666.666666672</v>
      </c>
    </row>
    <row r="175" spans="1:11">
      <c r="A175" t="s">
        <v>29</v>
      </c>
      <c r="B175">
        <v>5</v>
      </c>
      <c r="C175" s="2">
        <v>642453333.33333337</v>
      </c>
      <c r="E175" t="s">
        <v>29</v>
      </c>
      <c r="F175">
        <v>5</v>
      </c>
      <c r="G175" s="2">
        <v>17822003.76367851</v>
      </c>
      <c r="H175" s="2">
        <v>25380182.272169299</v>
      </c>
      <c r="I175" s="2">
        <v>18772697.502521802</v>
      </c>
      <c r="J175" s="2">
        <v>29487582.106479999</v>
      </c>
      <c r="K175">
        <v>607726666.66666675</v>
      </c>
    </row>
    <row r="176" spans="1:11">
      <c r="A176" t="s">
        <v>10</v>
      </c>
      <c r="B176">
        <v>5</v>
      </c>
      <c r="C176" s="2">
        <v>361963333.33333331</v>
      </c>
      <c r="E176" t="s">
        <v>10</v>
      </c>
      <c r="F176">
        <v>5</v>
      </c>
      <c r="G176" s="2">
        <v>292062852.74248081</v>
      </c>
      <c r="H176" s="2">
        <v>637643871.78983605</v>
      </c>
      <c r="I176" s="2">
        <v>269745103.66141701</v>
      </c>
      <c r="J176" s="2">
        <v>525442961.23289597</v>
      </c>
      <c r="K176">
        <v>344701666.66666669</v>
      </c>
    </row>
    <row r="177" spans="1:11">
      <c r="A177" t="s">
        <v>28</v>
      </c>
      <c r="B177">
        <v>5</v>
      </c>
      <c r="C177" s="2">
        <v>94933333.333333328</v>
      </c>
      <c r="E177" t="s">
        <v>28</v>
      </c>
      <c r="F177">
        <v>5</v>
      </c>
      <c r="G177" s="2">
        <v>163963519.5274606</v>
      </c>
      <c r="H177" s="2">
        <v>212846117.502902</v>
      </c>
      <c r="I177" s="2">
        <v>135364626.030085</v>
      </c>
      <c r="J177" s="2">
        <v>227959974.748999</v>
      </c>
      <c r="K177">
        <v>92244999.999999985</v>
      </c>
    </row>
    <row r="178" spans="1:11">
      <c r="A178" t="s">
        <v>7</v>
      </c>
      <c r="B178">
        <v>5</v>
      </c>
      <c r="C178" s="2">
        <v>50273333.333333336</v>
      </c>
      <c r="E178" t="s">
        <v>7</v>
      </c>
      <c r="F178">
        <v>5</v>
      </c>
      <c r="G178" s="2">
        <v>67440637.664193749</v>
      </c>
      <c r="H178" s="2">
        <v>90334172.715920106</v>
      </c>
      <c r="I178" s="2">
        <v>74600000</v>
      </c>
      <c r="J178" s="2">
        <v>72009819.765801594</v>
      </c>
      <c r="K178">
        <v>50140000</v>
      </c>
    </row>
    <row r="179" spans="1:11">
      <c r="A179" t="s">
        <v>3</v>
      </c>
      <c r="B179">
        <v>6</v>
      </c>
      <c r="C179" s="2">
        <v>278676666.66666669</v>
      </c>
      <c r="E179" t="s">
        <v>3</v>
      </c>
      <c r="F179">
        <v>6</v>
      </c>
      <c r="G179" s="2">
        <v>89979143.437323853</v>
      </c>
      <c r="H179" s="2">
        <v>138300224.93532199</v>
      </c>
      <c r="I179" s="2">
        <v>73640775.535997599</v>
      </c>
      <c r="J179" s="2">
        <v>165598746.48186001</v>
      </c>
      <c r="K179">
        <v>278676666.66666669</v>
      </c>
    </row>
    <row r="180" spans="1:11">
      <c r="A180" t="s">
        <v>5</v>
      </c>
      <c r="B180">
        <v>6</v>
      </c>
      <c r="C180" s="2">
        <v>207866666.66666672</v>
      </c>
      <c r="E180" t="s">
        <v>5</v>
      </c>
      <c r="F180">
        <v>6</v>
      </c>
      <c r="G180" s="2">
        <v>115952873.84252466</v>
      </c>
      <c r="H180" s="2">
        <v>135348371.59483001</v>
      </c>
      <c r="I180" s="2">
        <v>105165509.721323</v>
      </c>
      <c r="J180" s="2">
        <v>260587888.39631599</v>
      </c>
      <c r="K180">
        <v>207866666.66666672</v>
      </c>
    </row>
    <row r="181" spans="1:11">
      <c r="A181" t="s">
        <v>4</v>
      </c>
      <c r="B181">
        <v>6</v>
      </c>
      <c r="C181" s="2">
        <v>14166666.66666667</v>
      </c>
      <c r="E181" t="s">
        <v>4</v>
      </c>
      <c r="F181">
        <v>6</v>
      </c>
      <c r="G181" s="2">
        <v>15590164.305949008</v>
      </c>
      <c r="H181" s="2">
        <v>38609566.635568798</v>
      </c>
      <c r="I181" s="2">
        <v>14363537.0778841</v>
      </c>
      <c r="J181" s="2">
        <v>14448117.87049</v>
      </c>
      <c r="K181">
        <v>14166666.66666667</v>
      </c>
    </row>
    <row r="182" spans="1:11">
      <c r="A182" t="s">
        <v>6</v>
      </c>
      <c r="B182">
        <v>6</v>
      </c>
      <c r="C182" s="2">
        <v>53636666.666666664</v>
      </c>
      <c r="E182" t="s">
        <v>6</v>
      </c>
      <c r="F182">
        <v>6</v>
      </c>
      <c r="G182" s="2">
        <v>36075838.405873016</v>
      </c>
      <c r="H182" s="2">
        <v>81004911.957883298</v>
      </c>
      <c r="I182" s="2">
        <v>33410737.667553201</v>
      </c>
      <c r="J182" s="2">
        <v>65911413.6496666</v>
      </c>
      <c r="K182">
        <v>53636666.666666664</v>
      </c>
    </row>
    <row r="183" spans="1:11">
      <c r="A183" t="s">
        <v>15</v>
      </c>
      <c r="B183">
        <v>6</v>
      </c>
      <c r="C183" s="2">
        <v>25736666.666666672</v>
      </c>
      <c r="E183" t="s">
        <v>15</v>
      </c>
      <c r="F183">
        <v>6</v>
      </c>
      <c r="G183" s="2">
        <v>22098322.875672832</v>
      </c>
      <c r="H183" s="2">
        <v>30174017.055769902</v>
      </c>
      <c r="I183" s="2">
        <v>19276423.3909599</v>
      </c>
      <c r="J183" s="2">
        <v>36032391.606720001</v>
      </c>
      <c r="K183">
        <v>25736666.666666672</v>
      </c>
    </row>
    <row r="184" spans="1:11">
      <c r="A184" t="s">
        <v>8</v>
      </c>
      <c r="B184">
        <v>6</v>
      </c>
      <c r="C184" s="2">
        <v>120146666.6666667</v>
      </c>
      <c r="E184" t="s">
        <v>8</v>
      </c>
      <c r="F184">
        <v>6</v>
      </c>
      <c r="G184" s="2">
        <v>83065100.458685666</v>
      </c>
      <c r="H184" s="2">
        <v>142675376.49491301</v>
      </c>
      <c r="I184" s="2">
        <v>74504067.136244804</v>
      </c>
      <c r="J184" s="2">
        <v>149672294.463236</v>
      </c>
      <c r="K184">
        <v>120146666.6666667</v>
      </c>
    </row>
    <row r="185" spans="1:11">
      <c r="A185" t="s">
        <v>2</v>
      </c>
      <c r="B185">
        <v>6</v>
      </c>
      <c r="C185" s="2">
        <v>175643333.33333328</v>
      </c>
      <c r="E185" t="s">
        <v>2</v>
      </c>
      <c r="F185">
        <v>6</v>
      </c>
      <c r="G185" s="2">
        <v>47923528.456893452</v>
      </c>
      <c r="H185" s="2">
        <v>99362728.513405606</v>
      </c>
      <c r="I185" s="2">
        <v>51881024.717126399</v>
      </c>
      <c r="J185" s="2">
        <v>109918011.724666</v>
      </c>
      <c r="K185">
        <v>175643333.33333328</v>
      </c>
    </row>
    <row r="186" spans="1:11">
      <c r="A186" t="s">
        <v>9</v>
      </c>
      <c r="B186">
        <v>6</v>
      </c>
      <c r="C186" s="2">
        <v>33456666.666666664</v>
      </c>
      <c r="E186" t="s">
        <v>9</v>
      </c>
      <c r="F186">
        <v>6</v>
      </c>
      <c r="G186" s="2">
        <v>9864769.7550369781</v>
      </c>
      <c r="H186" s="2">
        <v>18938991.010247901</v>
      </c>
      <c r="I186" s="2">
        <v>10906152.9393126</v>
      </c>
      <c r="J186" s="2">
        <v>12250315.9291633</v>
      </c>
      <c r="K186">
        <v>33456666.666666664</v>
      </c>
    </row>
    <row r="187" spans="1:11">
      <c r="A187" t="s">
        <v>11</v>
      </c>
      <c r="B187">
        <v>6</v>
      </c>
      <c r="C187" s="2">
        <v>420420000</v>
      </c>
      <c r="E187" t="s">
        <v>11</v>
      </c>
      <c r="F187">
        <v>6</v>
      </c>
      <c r="G187" s="2">
        <v>102386043.37079245</v>
      </c>
      <c r="H187" s="2">
        <v>136565599.047306</v>
      </c>
      <c r="I187" s="2">
        <v>101242431.180059</v>
      </c>
      <c r="J187" s="2">
        <v>216483776.39719599</v>
      </c>
      <c r="K187">
        <v>420420000</v>
      </c>
    </row>
    <row r="188" spans="1:11">
      <c r="A188" t="s">
        <v>12</v>
      </c>
      <c r="B188">
        <v>6</v>
      </c>
      <c r="C188" s="2">
        <v>861783333.33333325</v>
      </c>
      <c r="E188" t="s">
        <v>12</v>
      </c>
      <c r="F188">
        <v>6</v>
      </c>
      <c r="G188" s="2">
        <v>587570921.96328211</v>
      </c>
      <c r="H188" s="2">
        <v>977355636.17598498</v>
      </c>
      <c r="I188" s="2">
        <v>430383305.85356498</v>
      </c>
      <c r="J188" s="2">
        <v>862417408.56336606</v>
      </c>
      <c r="K188">
        <v>861783333.33333325</v>
      </c>
    </row>
    <row r="189" spans="1:11">
      <c r="A189" t="s">
        <v>1</v>
      </c>
      <c r="B189">
        <v>6</v>
      </c>
      <c r="C189" s="2">
        <v>1496800000</v>
      </c>
      <c r="E189" t="s">
        <v>1</v>
      </c>
      <c r="F189">
        <v>6</v>
      </c>
      <c r="G189" s="2">
        <v>639567154.39744771</v>
      </c>
      <c r="H189" s="2">
        <v>1153088780.9565201</v>
      </c>
      <c r="I189" s="2">
        <v>619020456.66981304</v>
      </c>
      <c r="J189" s="2">
        <v>1562858160.6305399</v>
      </c>
      <c r="K189">
        <v>1496800000</v>
      </c>
    </row>
    <row r="190" spans="1:11">
      <c r="A190" t="s">
        <v>13</v>
      </c>
      <c r="B190">
        <v>6</v>
      </c>
      <c r="C190" s="2">
        <v>876653333.33333325</v>
      </c>
      <c r="E190" t="s">
        <v>13</v>
      </c>
      <c r="F190">
        <v>6</v>
      </c>
      <c r="G190" s="2">
        <v>470865192.38921201</v>
      </c>
      <c r="H190" s="2">
        <v>595190330.02830303</v>
      </c>
      <c r="I190" s="2">
        <v>438011934.54932898</v>
      </c>
      <c r="J190" s="2">
        <v>927374883.72551894</v>
      </c>
      <c r="K190">
        <v>876653333.33333325</v>
      </c>
    </row>
    <row r="191" spans="1:11">
      <c r="A191" t="s">
        <v>14</v>
      </c>
      <c r="B191">
        <v>6</v>
      </c>
      <c r="C191" s="2">
        <v>214226666.66666669</v>
      </c>
      <c r="E191" t="s">
        <v>14</v>
      </c>
      <c r="F191">
        <v>6</v>
      </c>
      <c r="G191" s="2">
        <v>60699027.48410558</v>
      </c>
      <c r="H191" s="2">
        <v>240380523.87454799</v>
      </c>
      <c r="I191" s="2">
        <v>69536125.032419294</v>
      </c>
      <c r="J191" s="2">
        <v>128478724.29337899</v>
      </c>
      <c r="K191">
        <v>214226666.66666669</v>
      </c>
    </row>
    <row r="192" spans="1:11">
      <c r="A192" t="s">
        <v>16</v>
      </c>
      <c r="B192">
        <v>6</v>
      </c>
      <c r="C192" s="2">
        <v>88663333.333333343</v>
      </c>
      <c r="E192" t="s">
        <v>16</v>
      </c>
      <c r="F192">
        <v>6</v>
      </c>
      <c r="G192" s="2">
        <v>52113435.625683591</v>
      </c>
      <c r="H192" s="2">
        <v>87349619.730015904</v>
      </c>
      <c r="I192" s="2">
        <v>52906609.8112951</v>
      </c>
      <c r="J192" s="2">
        <v>120124131.576346</v>
      </c>
      <c r="K192">
        <v>88663333.333333343</v>
      </c>
    </row>
    <row r="193" spans="1:11">
      <c r="A193" t="s">
        <v>17</v>
      </c>
      <c r="B193">
        <v>6</v>
      </c>
      <c r="C193" s="2">
        <v>162983333.33333328</v>
      </c>
      <c r="E193" t="s">
        <v>17</v>
      </c>
      <c r="F193">
        <v>6</v>
      </c>
      <c r="G193" s="2">
        <v>35736777.213262275</v>
      </c>
      <c r="H193" s="2">
        <v>81517465.997377694</v>
      </c>
      <c r="I193" s="2">
        <v>49384743.4350852</v>
      </c>
      <c r="J193" s="2">
        <v>87517626.887710005</v>
      </c>
      <c r="K193">
        <v>162983333.33333328</v>
      </c>
    </row>
    <row r="194" spans="1:11">
      <c r="A194" t="s">
        <v>18</v>
      </c>
      <c r="B194">
        <v>6</v>
      </c>
      <c r="C194" s="2">
        <v>690666666.66666663</v>
      </c>
      <c r="E194" t="s">
        <v>18</v>
      </c>
      <c r="F194">
        <v>6</v>
      </c>
      <c r="G194" s="2">
        <v>393563993.49020404</v>
      </c>
      <c r="H194" s="2">
        <v>602832059.59193599</v>
      </c>
      <c r="I194" s="2">
        <v>343364360.05471998</v>
      </c>
      <c r="J194" s="2">
        <v>780202182.43888605</v>
      </c>
      <c r="K194">
        <v>690666666.66666663</v>
      </c>
    </row>
    <row r="195" spans="1:11">
      <c r="A195" t="s">
        <v>21</v>
      </c>
      <c r="B195">
        <v>6</v>
      </c>
      <c r="C195" s="2">
        <v>29336666.666666668</v>
      </c>
      <c r="E195" t="s">
        <v>21</v>
      </c>
      <c r="F195">
        <v>6</v>
      </c>
      <c r="G195" s="2">
        <v>10650344.927182319</v>
      </c>
      <c r="H195" s="2">
        <v>20625810.384208601</v>
      </c>
      <c r="I195" s="2">
        <v>8956684.9823007695</v>
      </c>
      <c r="J195" s="2">
        <v>21118390.498693299</v>
      </c>
      <c r="K195">
        <v>29336666.666666668</v>
      </c>
    </row>
    <row r="196" spans="1:11">
      <c r="A196" t="s">
        <v>19</v>
      </c>
      <c r="B196">
        <v>6</v>
      </c>
      <c r="C196" s="2">
        <v>67643333.333333328</v>
      </c>
      <c r="E196" t="s">
        <v>19</v>
      </c>
      <c r="F196">
        <v>6</v>
      </c>
      <c r="G196" s="2">
        <v>13018807.932697486</v>
      </c>
      <c r="H196" s="2">
        <v>35151611.673395</v>
      </c>
      <c r="I196" s="2">
        <v>12166542.974144099</v>
      </c>
      <c r="J196" s="2">
        <v>29946156.4334266</v>
      </c>
      <c r="K196">
        <v>67643333.333333328</v>
      </c>
    </row>
    <row r="197" spans="1:11">
      <c r="A197" t="s">
        <v>20</v>
      </c>
      <c r="B197">
        <v>6</v>
      </c>
      <c r="C197" s="2">
        <v>19346666.666666672</v>
      </c>
      <c r="E197" t="s">
        <v>20</v>
      </c>
      <c r="F197">
        <v>6</v>
      </c>
      <c r="G197" s="2">
        <v>11469070.968644019</v>
      </c>
      <c r="H197" s="2">
        <v>11355297.9571876</v>
      </c>
      <c r="I197" s="2">
        <v>7427960.9342139103</v>
      </c>
      <c r="J197" s="2">
        <v>6199963.66787</v>
      </c>
      <c r="K197">
        <v>19346666.666666672</v>
      </c>
    </row>
    <row r="198" spans="1:11">
      <c r="A198" t="s">
        <v>22</v>
      </c>
      <c r="B198">
        <v>6</v>
      </c>
      <c r="C198" s="2">
        <v>12380000</v>
      </c>
      <c r="E198" t="s">
        <v>22</v>
      </c>
      <c r="F198">
        <v>6</v>
      </c>
      <c r="G198" s="2">
        <v>11509682.719546737</v>
      </c>
      <c r="H198" s="2">
        <v>19304783.317784399</v>
      </c>
      <c r="I198" s="2">
        <v>7768652.7413661703</v>
      </c>
      <c r="J198" s="2">
        <v>10766212.2289233</v>
      </c>
      <c r="K198">
        <v>12380000</v>
      </c>
    </row>
    <row r="199" spans="1:11">
      <c r="A199" t="s">
        <v>23</v>
      </c>
      <c r="B199">
        <v>6</v>
      </c>
      <c r="C199" s="2">
        <v>437470000</v>
      </c>
      <c r="E199" t="s">
        <v>23</v>
      </c>
      <c r="F199">
        <v>6</v>
      </c>
      <c r="G199" s="2">
        <v>134876568.97680402</v>
      </c>
      <c r="H199" s="2">
        <v>215062197.89453101</v>
      </c>
      <c r="I199" s="2">
        <v>149206802.65823299</v>
      </c>
      <c r="J199" s="2">
        <v>402793727.50908601</v>
      </c>
      <c r="K199">
        <v>437470000</v>
      </c>
    </row>
    <row r="200" spans="1:11">
      <c r="A200" t="s">
        <v>32</v>
      </c>
      <c r="B200">
        <v>6</v>
      </c>
      <c r="C200" s="2">
        <v>46100000</v>
      </c>
      <c r="E200" t="s">
        <v>32</v>
      </c>
      <c r="F200">
        <v>6</v>
      </c>
      <c r="G200" s="2">
        <v>43470000</v>
      </c>
      <c r="H200" s="2">
        <v>46865062.229979701</v>
      </c>
      <c r="I200" s="2">
        <v>42356991.576593101</v>
      </c>
      <c r="J200" s="2">
        <v>42356991.576593101</v>
      </c>
      <c r="K200">
        <v>46100000</v>
      </c>
    </row>
    <row r="201" spans="1:11">
      <c r="A201" t="s">
        <v>33</v>
      </c>
      <c r="B201">
        <v>6</v>
      </c>
      <c r="C201" s="2">
        <v>54700000</v>
      </c>
      <c r="E201" t="s">
        <v>33</v>
      </c>
      <c r="F201">
        <v>6</v>
      </c>
      <c r="G201" s="2">
        <v>43470000</v>
      </c>
      <c r="H201" s="2">
        <v>46865062.229979701</v>
      </c>
      <c r="I201" s="2">
        <v>55421580.464238301</v>
      </c>
      <c r="J201" s="2">
        <v>55421580.464238301</v>
      </c>
      <c r="K201">
        <v>54700000</v>
      </c>
    </row>
    <row r="202" spans="1:11">
      <c r="A202" t="s">
        <v>34</v>
      </c>
      <c r="B202">
        <v>6</v>
      </c>
      <c r="C202" s="2">
        <v>34800000</v>
      </c>
      <c r="E202" t="s">
        <v>34</v>
      </c>
      <c r="F202">
        <v>6</v>
      </c>
      <c r="G202" s="2">
        <v>32200000</v>
      </c>
      <c r="H202" s="2">
        <v>34714860.911095999</v>
      </c>
      <c r="I202" s="2">
        <v>34066679.002118103</v>
      </c>
      <c r="J202" s="2">
        <v>34066679.002118103</v>
      </c>
      <c r="K202">
        <v>34800000</v>
      </c>
    </row>
    <row r="203" spans="1:11">
      <c r="A203" t="s">
        <v>35</v>
      </c>
      <c r="B203">
        <v>6</v>
      </c>
      <c r="C203" s="2">
        <v>28500000</v>
      </c>
      <c r="E203" t="s">
        <v>35</v>
      </c>
      <c r="F203">
        <v>6</v>
      </c>
      <c r="G203" s="2">
        <v>22540000.000000004</v>
      </c>
      <c r="H203" s="2">
        <v>24300402.637767199</v>
      </c>
      <c r="I203" s="2">
        <v>29225399.2812743</v>
      </c>
      <c r="J203" s="2">
        <v>29225399.2812743</v>
      </c>
      <c r="K203">
        <v>28500000</v>
      </c>
    </row>
    <row r="204" spans="1:11">
      <c r="A204" t="s">
        <v>36</v>
      </c>
      <c r="B204">
        <v>6</v>
      </c>
      <c r="C204" s="2">
        <v>25500000</v>
      </c>
      <c r="E204" t="s">
        <v>36</v>
      </c>
      <c r="F204">
        <v>6</v>
      </c>
      <c r="G204" s="2">
        <v>19320000</v>
      </c>
      <c r="H204" s="2">
        <v>20828916.5466576</v>
      </c>
      <c r="I204" s="2">
        <v>28929349.6757759</v>
      </c>
      <c r="J204" s="2">
        <v>28929349.6757759</v>
      </c>
      <c r="K204">
        <v>25500000</v>
      </c>
    </row>
    <row r="205" spans="1:11">
      <c r="A205" t="s">
        <v>24</v>
      </c>
      <c r="B205">
        <v>6</v>
      </c>
      <c r="C205" s="2">
        <v>390706666.66666657</v>
      </c>
      <c r="E205" t="s">
        <v>24</v>
      </c>
      <c r="F205">
        <v>6</v>
      </c>
      <c r="G205" s="2">
        <v>219831685.97005913</v>
      </c>
      <c r="H205" s="2">
        <v>393472506.99323499</v>
      </c>
      <c r="I205" s="2">
        <v>197767445.47184101</v>
      </c>
      <c r="J205" s="2">
        <v>380533325.47916001</v>
      </c>
      <c r="K205">
        <v>390706666.66666657</v>
      </c>
    </row>
    <row r="206" spans="1:11">
      <c r="A206" t="s">
        <v>25</v>
      </c>
      <c r="B206">
        <v>6</v>
      </c>
      <c r="C206" s="2">
        <v>145940000</v>
      </c>
      <c r="E206" t="s">
        <v>25</v>
      </c>
      <c r="F206">
        <v>6</v>
      </c>
      <c r="G206" s="2">
        <v>58450033.460603155</v>
      </c>
      <c r="H206" s="2">
        <v>123060131.342177</v>
      </c>
      <c r="I206" s="2">
        <v>56063286.758157499</v>
      </c>
      <c r="J206" s="2">
        <v>104753933.942563</v>
      </c>
      <c r="K206">
        <v>145940000</v>
      </c>
    </row>
    <row r="207" spans="1:11">
      <c r="A207" t="s">
        <v>26</v>
      </c>
      <c r="B207">
        <v>6</v>
      </c>
      <c r="C207" s="2">
        <v>94486666.666666672</v>
      </c>
      <c r="E207" t="s">
        <v>26</v>
      </c>
      <c r="F207">
        <v>6</v>
      </c>
      <c r="G207" s="2">
        <v>71567888.611861095</v>
      </c>
      <c r="H207" s="2">
        <v>240366476.184277</v>
      </c>
      <c r="I207" s="2">
        <v>68673435.396211699</v>
      </c>
      <c r="J207" s="2">
        <v>166031313.06129599</v>
      </c>
      <c r="K207">
        <v>94486666.666666672</v>
      </c>
    </row>
    <row r="208" spans="1:11">
      <c r="A208" t="s">
        <v>27</v>
      </c>
      <c r="B208">
        <v>6</v>
      </c>
      <c r="C208" s="2">
        <v>46336666.666666672</v>
      </c>
      <c r="E208" t="s">
        <v>27</v>
      </c>
      <c r="F208">
        <v>6</v>
      </c>
      <c r="G208" s="2">
        <v>51176634.560906507</v>
      </c>
      <c r="H208" s="2">
        <v>96523916.588921994</v>
      </c>
      <c r="I208" s="2">
        <v>36072202.214972802</v>
      </c>
      <c r="J208" s="2">
        <v>47456554.6084866</v>
      </c>
      <c r="K208">
        <v>46336666.666666672</v>
      </c>
    </row>
    <row r="209" spans="1:11">
      <c r="A209" t="s">
        <v>30</v>
      </c>
      <c r="B209">
        <v>6</v>
      </c>
      <c r="C209" s="2">
        <v>22876666.666666668</v>
      </c>
      <c r="E209" t="s">
        <v>30</v>
      </c>
      <c r="F209">
        <v>6</v>
      </c>
      <c r="G209" s="2">
        <v>38250329.130189709</v>
      </c>
      <c r="H209" s="2">
        <v>64715697.184055403</v>
      </c>
      <c r="I209" s="2">
        <v>32889499.496543601</v>
      </c>
      <c r="J209" s="2">
        <v>69059474.880060002</v>
      </c>
      <c r="K209">
        <v>22876666.666666668</v>
      </c>
    </row>
    <row r="210" spans="1:11">
      <c r="A210" t="s">
        <v>29</v>
      </c>
      <c r="B210">
        <v>6</v>
      </c>
      <c r="C210" s="2">
        <v>642453333.33333337</v>
      </c>
      <c r="E210" t="s">
        <v>29</v>
      </c>
      <c r="F210">
        <v>6</v>
      </c>
      <c r="G210" s="2">
        <v>19199980.739460133</v>
      </c>
      <c r="H210" s="2">
        <v>29276631.4457152</v>
      </c>
      <c r="I210" s="2">
        <v>19239531.097908098</v>
      </c>
      <c r="J210" s="2">
        <v>31964860.9787766</v>
      </c>
      <c r="K210">
        <v>642453333.33333337</v>
      </c>
    </row>
    <row r="211" spans="1:11">
      <c r="A211" t="s">
        <v>10</v>
      </c>
      <c r="B211">
        <v>6</v>
      </c>
      <c r="C211" s="2">
        <v>361963333.33333331</v>
      </c>
      <c r="E211" t="s">
        <v>10</v>
      </c>
      <c r="F211">
        <v>6</v>
      </c>
      <c r="G211" s="2">
        <v>307055084.07406002</v>
      </c>
      <c r="H211" s="2">
        <v>878280653.92551005</v>
      </c>
      <c r="I211" s="2">
        <v>275131026.650042</v>
      </c>
      <c r="J211" s="2">
        <v>584994631.83453298</v>
      </c>
      <c r="K211">
        <v>361963333.33333331</v>
      </c>
    </row>
    <row r="212" spans="1:11">
      <c r="A212" t="s">
        <v>28</v>
      </c>
      <c r="B212">
        <v>6</v>
      </c>
      <c r="C212" s="2">
        <v>94933333.333333328</v>
      </c>
      <c r="E212" t="s">
        <v>28</v>
      </c>
      <c r="F212">
        <v>6</v>
      </c>
      <c r="G212" s="2">
        <v>175638974.81612018</v>
      </c>
      <c r="H212" s="2">
        <v>236400776.11924499</v>
      </c>
      <c r="I212" s="2">
        <v>138229770.23881799</v>
      </c>
      <c r="J212" s="2">
        <v>243378192.635443</v>
      </c>
      <c r="K212">
        <v>94933333.333333328</v>
      </c>
    </row>
    <row r="213" spans="1:11">
      <c r="A213" t="s">
        <v>7</v>
      </c>
      <c r="B213">
        <v>6</v>
      </c>
      <c r="C213" s="2">
        <v>50273333.333333336</v>
      </c>
      <c r="E213" t="s">
        <v>7</v>
      </c>
      <c r="F213">
        <v>6</v>
      </c>
      <c r="G213" s="2">
        <v>67958565.197032496</v>
      </c>
      <c r="H213" s="2">
        <v>100500189.51771399</v>
      </c>
      <c r="I213" s="2">
        <v>76000000</v>
      </c>
      <c r="J213" s="2">
        <v>75839512.303496599</v>
      </c>
      <c r="K213">
        <v>50273333.333333336</v>
      </c>
    </row>
    <row r="214" spans="1:11">
      <c r="A214" t="s">
        <v>3</v>
      </c>
      <c r="B214">
        <v>7</v>
      </c>
      <c r="C214" s="2">
        <v>278676666.66666669</v>
      </c>
      <c r="E214" t="s">
        <v>3</v>
      </c>
      <c r="F214">
        <v>7</v>
      </c>
      <c r="G214" s="2">
        <v>93702866.859825522</v>
      </c>
      <c r="H214" s="2">
        <v>144018460.31930599</v>
      </c>
      <c r="I214" s="2">
        <v>73640775.535997599</v>
      </c>
      <c r="J214" s="2">
        <v>165598746.48186001</v>
      </c>
      <c r="K214">
        <v>278676666.66666669</v>
      </c>
    </row>
    <row r="215" spans="1:11">
      <c r="A215" t="s">
        <v>5</v>
      </c>
      <c r="B215">
        <v>7</v>
      </c>
      <c r="C215" s="2">
        <v>207866666.66666672</v>
      </c>
      <c r="E215" t="s">
        <v>5</v>
      </c>
      <c r="F215">
        <v>7</v>
      </c>
      <c r="G215" s="2">
        <v>121946603.94455089</v>
      </c>
      <c r="H215" s="2">
        <v>141509685.39414901</v>
      </c>
      <c r="I215" s="2">
        <v>105165509.721323</v>
      </c>
      <c r="J215" s="2">
        <v>260587888.39631599</v>
      </c>
      <c r="K215">
        <v>207866666.66666672</v>
      </c>
    </row>
    <row r="216" spans="1:11">
      <c r="A216" t="s">
        <v>4</v>
      </c>
      <c r="B216">
        <v>7</v>
      </c>
      <c r="C216" s="2">
        <v>14166666.66666667</v>
      </c>
      <c r="E216" t="s">
        <v>4</v>
      </c>
      <c r="F216">
        <v>7</v>
      </c>
      <c r="G216" s="2">
        <v>16236917.847025499</v>
      </c>
      <c r="H216" s="2">
        <v>38831420.408513002</v>
      </c>
      <c r="I216" s="2">
        <v>14363537.0778841</v>
      </c>
      <c r="J216" s="2">
        <v>14448117.87049</v>
      </c>
      <c r="K216">
        <v>14166666.66666667</v>
      </c>
    </row>
    <row r="217" spans="1:11">
      <c r="A217" t="s">
        <v>6</v>
      </c>
      <c r="B217">
        <v>7</v>
      </c>
      <c r="C217" s="2">
        <v>53636666.666666664</v>
      </c>
      <c r="E217" t="s">
        <v>6</v>
      </c>
      <c r="F217">
        <v>7</v>
      </c>
      <c r="G217" s="2">
        <v>37320964.811495982</v>
      </c>
      <c r="H217" s="2">
        <v>85865977.818876505</v>
      </c>
      <c r="I217" s="2">
        <v>33410737.667553201</v>
      </c>
      <c r="J217" s="2">
        <v>65911413.6496666</v>
      </c>
      <c r="K217">
        <v>53636666.666666664</v>
      </c>
    </row>
    <row r="218" spans="1:11">
      <c r="A218" t="s">
        <v>15</v>
      </c>
      <c r="B218">
        <v>7</v>
      </c>
      <c r="C218" s="2">
        <v>25736666.666666672</v>
      </c>
      <c r="E218" t="s">
        <v>15</v>
      </c>
      <c r="F218">
        <v>7</v>
      </c>
      <c r="G218" s="2">
        <v>23341870.84548945</v>
      </c>
      <c r="H218" s="2">
        <v>32095462.0173041</v>
      </c>
      <c r="I218" s="2">
        <v>19276423.3909599</v>
      </c>
      <c r="J218" s="2">
        <v>36032391.606720001</v>
      </c>
      <c r="K218">
        <v>25736666.666666672</v>
      </c>
    </row>
    <row r="219" spans="1:11">
      <c r="A219" t="s">
        <v>8</v>
      </c>
      <c r="B219">
        <v>7</v>
      </c>
      <c r="C219" s="2">
        <v>120146666.6666667</v>
      </c>
      <c r="E219" t="s">
        <v>8</v>
      </c>
      <c r="F219">
        <v>7</v>
      </c>
      <c r="G219" s="2">
        <v>87573369.238860622</v>
      </c>
      <c r="H219" s="2">
        <v>144523107.21372199</v>
      </c>
      <c r="I219" s="2">
        <v>74504067.136244804</v>
      </c>
      <c r="J219" s="2">
        <v>149672294.463236</v>
      </c>
      <c r="K219">
        <v>120146666.6666667</v>
      </c>
    </row>
    <row r="220" spans="1:11">
      <c r="A220" t="s">
        <v>2</v>
      </c>
      <c r="B220">
        <v>7</v>
      </c>
      <c r="C220" s="2">
        <v>175643333.33333328</v>
      </c>
      <c r="E220" t="s">
        <v>2</v>
      </c>
      <c r="F220">
        <v>7</v>
      </c>
      <c r="G220" s="2">
        <v>50373930.136062704</v>
      </c>
      <c r="H220" s="2">
        <v>90256007.029491901</v>
      </c>
      <c r="I220" s="2">
        <v>51881024.717126399</v>
      </c>
      <c r="J220" s="2">
        <v>109918011.724666</v>
      </c>
      <c r="K220">
        <v>175643333.33333328</v>
      </c>
    </row>
    <row r="221" spans="1:11">
      <c r="A221" t="s">
        <v>9</v>
      </c>
      <c r="B221">
        <v>7</v>
      </c>
      <c r="C221" s="2">
        <v>33456666.666666664</v>
      </c>
      <c r="E221" t="s">
        <v>9</v>
      </c>
      <c r="F221">
        <v>7</v>
      </c>
      <c r="G221" s="2">
        <v>10123997.793042615</v>
      </c>
      <c r="H221" s="2">
        <v>19549537.0277058</v>
      </c>
      <c r="I221" s="2">
        <v>10906152.9393126</v>
      </c>
      <c r="J221" s="2">
        <v>12250315.9291633</v>
      </c>
      <c r="K221">
        <v>33456666.666666664</v>
      </c>
    </row>
    <row r="222" spans="1:11">
      <c r="A222" t="s">
        <v>11</v>
      </c>
      <c r="B222">
        <v>7</v>
      </c>
      <c r="C222" s="2">
        <v>420420000</v>
      </c>
      <c r="E222" t="s">
        <v>11</v>
      </c>
      <c r="F222">
        <v>7</v>
      </c>
      <c r="G222" s="2">
        <v>106013436.96844733</v>
      </c>
      <c r="H222" s="2">
        <v>138078074.43680301</v>
      </c>
      <c r="I222" s="2">
        <v>101242431.180059</v>
      </c>
      <c r="J222" s="2">
        <v>216483776.39719599</v>
      </c>
      <c r="K222">
        <v>420420000</v>
      </c>
    </row>
    <row r="223" spans="1:11">
      <c r="A223" t="s">
        <v>12</v>
      </c>
      <c r="B223">
        <v>7</v>
      </c>
      <c r="C223" s="2">
        <v>861783333.33333325</v>
      </c>
      <c r="E223" t="s">
        <v>12</v>
      </c>
      <c r="F223">
        <v>7</v>
      </c>
      <c r="G223" s="2">
        <v>599181647.77225924</v>
      </c>
      <c r="H223" s="2">
        <v>961702246.790573</v>
      </c>
      <c r="I223" s="2">
        <v>430383305.85356498</v>
      </c>
      <c r="J223" s="2">
        <v>862417408.56336606</v>
      </c>
      <c r="K223">
        <v>861783333.33333325</v>
      </c>
    </row>
    <row r="224" spans="1:11">
      <c r="A224" t="s">
        <v>1</v>
      </c>
      <c r="B224">
        <v>7</v>
      </c>
      <c r="C224" s="2">
        <v>1496800000</v>
      </c>
      <c r="E224" t="s">
        <v>1</v>
      </c>
      <c r="F224">
        <v>7</v>
      </c>
      <c r="G224" s="2">
        <v>646810460.89195657</v>
      </c>
      <c r="H224" s="2">
        <v>1210014522.54667</v>
      </c>
      <c r="I224" s="2">
        <v>619020456.66981304</v>
      </c>
      <c r="J224" s="2">
        <v>1562858160.6305399</v>
      </c>
      <c r="K224">
        <v>1496800000</v>
      </c>
    </row>
    <row r="225" spans="1:11">
      <c r="A225" t="s">
        <v>13</v>
      </c>
      <c r="B225">
        <v>7</v>
      </c>
      <c r="C225" s="2">
        <v>876653333.33333325</v>
      </c>
      <c r="E225" t="s">
        <v>13</v>
      </c>
      <c r="F225">
        <v>7</v>
      </c>
      <c r="G225" s="2">
        <v>483889644.24583995</v>
      </c>
      <c r="H225" s="2">
        <v>674602881.53388202</v>
      </c>
      <c r="I225" s="2">
        <v>438011934.54932898</v>
      </c>
      <c r="J225" s="2">
        <v>927374883.72551894</v>
      </c>
      <c r="K225">
        <v>876653333.33333325</v>
      </c>
    </row>
    <row r="226" spans="1:11">
      <c r="A226" t="s">
        <v>14</v>
      </c>
      <c r="B226">
        <v>7</v>
      </c>
      <c r="C226" s="2">
        <v>214226666.66666669</v>
      </c>
      <c r="E226" t="s">
        <v>14</v>
      </c>
      <c r="F226">
        <v>7</v>
      </c>
      <c r="G226" s="2">
        <v>60889787.651390567</v>
      </c>
      <c r="H226" s="2">
        <v>234964552.009422</v>
      </c>
      <c r="I226" s="2">
        <v>69536125.032419294</v>
      </c>
      <c r="J226" s="2">
        <v>128478724.29337899</v>
      </c>
      <c r="K226">
        <v>214226666.66666669</v>
      </c>
    </row>
    <row r="227" spans="1:11">
      <c r="A227" t="s">
        <v>16</v>
      </c>
      <c r="B227">
        <v>7</v>
      </c>
      <c r="C227" s="2">
        <v>88663333.333333343</v>
      </c>
      <c r="E227" t="s">
        <v>16</v>
      </c>
      <c r="F227">
        <v>7</v>
      </c>
      <c r="G227" s="2">
        <v>53356212.63015797</v>
      </c>
      <c r="H227" s="2">
        <v>88950155.114563301</v>
      </c>
      <c r="I227" s="2">
        <v>52906609.8112951</v>
      </c>
      <c r="J227" s="2">
        <v>120124131.576346</v>
      </c>
      <c r="K227">
        <v>88663333.333333343</v>
      </c>
    </row>
    <row r="228" spans="1:11">
      <c r="A228" t="s">
        <v>17</v>
      </c>
      <c r="B228">
        <v>7</v>
      </c>
      <c r="C228" s="2">
        <v>162983333.33333328</v>
      </c>
      <c r="E228" t="s">
        <v>17</v>
      </c>
      <c r="F228">
        <v>7</v>
      </c>
      <c r="G228" s="2">
        <v>38272641.572734319</v>
      </c>
      <c r="H228" s="2">
        <v>83012828.021347702</v>
      </c>
      <c r="I228" s="2">
        <v>49384743.4350852</v>
      </c>
      <c r="J228" s="2">
        <v>87517626.887710005</v>
      </c>
      <c r="K228">
        <v>162983333.33333328</v>
      </c>
    </row>
    <row r="229" spans="1:11">
      <c r="A229" t="s">
        <v>18</v>
      </c>
      <c r="B229">
        <v>7</v>
      </c>
      <c r="C229" s="2">
        <v>690666666.66666663</v>
      </c>
      <c r="E229" t="s">
        <v>18</v>
      </c>
      <c r="F229">
        <v>7</v>
      </c>
      <c r="G229" s="2">
        <v>404009452.0940963</v>
      </c>
      <c r="H229" s="2">
        <v>617042216.85868394</v>
      </c>
      <c r="I229" s="2">
        <v>343364360.05471998</v>
      </c>
      <c r="J229" s="2">
        <v>780202182.43888605</v>
      </c>
      <c r="K229">
        <v>690666666.66666663</v>
      </c>
    </row>
    <row r="230" spans="1:11">
      <c r="A230" t="s">
        <v>21</v>
      </c>
      <c r="B230">
        <v>7</v>
      </c>
      <c r="C230" s="2">
        <v>29336666.666666668</v>
      </c>
      <c r="E230" t="s">
        <v>21</v>
      </c>
      <c r="F230">
        <v>7</v>
      </c>
      <c r="G230" s="2">
        <v>11161205.649147047</v>
      </c>
      <c r="H230" s="2">
        <v>21069811.243269499</v>
      </c>
      <c r="I230" s="2">
        <v>8956684.9823007695</v>
      </c>
      <c r="J230" s="2">
        <v>21118390.498693299</v>
      </c>
      <c r="K230">
        <v>29336666.666666668</v>
      </c>
    </row>
    <row r="231" spans="1:11">
      <c r="A231" t="s">
        <v>19</v>
      </c>
      <c r="B231">
        <v>7</v>
      </c>
      <c r="C231" s="2">
        <v>67643333.333333328</v>
      </c>
      <c r="E231" t="s">
        <v>19</v>
      </c>
      <c r="F231">
        <v>7</v>
      </c>
      <c r="G231" s="2">
        <v>13426066.059018796</v>
      </c>
      <c r="H231" s="2">
        <v>35008569.9699696</v>
      </c>
      <c r="I231" s="2">
        <v>12166542.974144099</v>
      </c>
      <c r="J231" s="2">
        <v>29946156.4334266</v>
      </c>
      <c r="K231">
        <v>67643333.333333328</v>
      </c>
    </row>
    <row r="232" spans="1:11">
      <c r="A232" t="s">
        <v>20</v>
      </c>
      <c r="B232">
        <v>7</v>
      </c>
      <c r="C232" s="2">
        <v>19346666.666666672</v>
      </c>
      <c r="E232" t="s">
        <v>20</v>
      </c>
      <c r="F232">
        <v>7</v>
      </c>
      <c r="G232" s="2">
        <v>12039105.93704308</v>
      </c>
      <c r="H232" s="2">
        <v>11086072.2958146</v>
      </c>
      <c r="I232" s="2">
        <v>7427960.9342139103</v>
      </c>
      <c r="J232" s="2">
        <v>6199963.66787</v>
      </c>
      <c r="K232">
        <v>19346666.666666672</v>
      </c>
    </row>
    <row r="233" spans="1:11">
      <c r="A233" t="s">
        <v>22</v>
      </c>
      <c r="B233">
        <v>7</v>
      </c>
      <c r="C233" s="2">
        <v>12380000</v>
      </c>
      <c r="E233" t="s">
        <v>22</v>
      </c>
      <c r="F233">
        <v>7</v>
      </c>
      <c r="G233" s="2">
        <v>11987158.640226625</v>
      </c>
      <c r="H233" s="2">
        <v>19415710.204256501</v>
      </c>
      <c r="I233" s="2">
        <v>7768652.7413661703</v>
      </c>
      <c r="J233" s="2">
        <v>10766212.2289233</v>
      </c>
      <c r="K233">
        <v>12380000</v>
      </c>
    </row>
    <row r="234" spans="1:11">
      <c r="A234" t="s">
        <v>23</v>
      </c>
      <c r="B234">
        <v>7</v>
      </c>
      <c r="C234" s="2">
        <v>437470000</v>
      </c>
      <c r="E234" t="s">
        <v>23</v>
      </c>
      <c r="F234">
        <v>7</v>
      </c>
      <c r="G234" s="2">
        <v>140392820.08690777</v>
      </c>
      <c r="H234" s="2">
        <v>240593768.43732399</v>
      </c>
      <c r="I234" s="2">
        <v>149206802.65823299</v>
      </c>
      <c r="J234" s="2">
        <v>402793727.50908601</v>
      </c>
      <c r="K234">
        <v>437470000</v>
      </c>
    </row>
    <row r="235" spans="1:11">
      <c r="A235" t="s">
        <v>32</v>
      </c>
      <c r="B235">
        <v>7</v>
      </c>
      <c r="C235" s="2">
        <v>46100000</v>
      </c>
      <c r="E235" t="s">
        <v>32</v>
      </c>
      <c r="F235">
        <v>7</v>
      </c>
      <c r="G235" s="2">
        <v>44010000</v>
      </c>
      <c r="H235" s="2">
        <v>46891769.834071599</v>
      </c>
      <c r="I235" s="2">
        <v>42356991.576593101</v>
      </c>
      <c r="J235" s="2">
        <v>42356991.576593101</v>
      </c>
      <c r="K235">
        <v>46100000</v>
      </c>
    </row>
    <row r="236" spans="1:11">
      <c r="A236" t="s">
        <v>33</v>
      </c>
      <c r="B236">
        <v>7</v>
      </c>
      <c r="C236" s="2">
        <v>54700000</v>
      </c>
      <c r="E236" t="s">
        <v>33</v>
      </c>
      <c r="F236">
        <v>7</v>
      </c>
      <c r="G236" s="2">
        <v>44010000</v>
      </c>
      <c r="H236" s="2">
        <v>46891769.834071599</v>
      </c>
      <c r="I236" s="2">
        <v>55421580.464238301</v>
      </c>
      <c r="J236" s="2">
        <v>55421580.464238301</v>
      </c>
      <c r="K236">
        <v>54700000</v>
      </c>
    </row>
    <row r="237" spans="1:11">
      <c r="A237" t="s">
        <v>34</v>
      </c>
      <c r="B237">
        <v>7</v>
      </c>
      <c r="C237" s="2">
        <v>34800000</v>
      </c>
      <c r="E237" t="s">
        <v>34</v>
      </c>
      <c r="F237">
        <v>7</v>
      </c>
      <c r="G237" s="2">
        <v>32600000</v>
      </c>
      <c r="H237" s="2">
        <v>34734644.3215345</v>
      </c>
      <c r="I237" s="2">
        <v>34066679.002118103</v>
      </c>
      <c r="J237" s="2">
        <v>34066679.002118103</v>
      </c>
      <c r="K237">
        <v>34800000</v>
      </c>
    </row>
    <row r="238" spans="1:11">
      <c r="A238" t="s">
        <v>35</v>
      </c>
      <c r="B238">
        <v>7</v>
      </c>
      <c r="C238" s="2">
        <v>28500000</v>
      </c>
      <c r="E238" t="s">
        <v>35</v>
      </c>
      <c r="F238">
        <v>7</v>
      </c>
      <c r="G238" s="2">
        <v>22820000.000000004</v>
      </c>
      <c r="H238" s="2">
        <v>24314251.025074098</v>
      </c>
      <c r="I238" s="2">
        <v>29225399.2812743</v>
      </c>
      <c r="J238" s="2">
        <v>29225399.2812743</v>
      </c>
      <c r="K238">
        <v>28500000</v>
      </c>
    </row>
    <row r="239" spans="1:11">
      <c r="A239" t="s">
        <v>36</v>
      </c>
      <c r="B239">
        <v>7</v>
      </c>
      <c r="C239" s="2">
        <v>25500000</v>
      </c>
      <c r="E239" t="s">
        <v>36</v>
      </c>
      <c r="F239">
        <v>7</v>
      </c>
      <c r="G239" s="2">
        <v>19560000</v>
      </c>
      <c r="H239" s="2">
        <v>20840786.592920698</v>
      </c>
      <c r="I239" s="2">
        <v>28929349.6757759</v>
      </c>
      <c r="J239" s="2">
        <v>28929349.6757759</v>
      </c>
      <c r="K239">
        <v>25500000</v>
      </c>
    </row>
    <row r="240" spans="1:11">
      <c r="A240" t="s">
        <v>24</v>
      </c>
      <c r="B240">
        <v>7</v>
      </c>
      <c r="C240" s="2">
        <v>390706666.66666657</v>
      </c>
      <c r="E240" t="s">
        <v>24</v>
      </c>
      <c r="F240">
        <v>7</v>
      </c>
      <c r="G240" s="2">
        <v>226439891.33261186</v>
      </c>
      <c r="H240" s="2">
        <v>428975151.971178</v>
      </c>
      <c r="I240" s="2">
        <v>197767445.47184101</v>
      </c>
      <c r="J240" s="2">
        <v>380533325.47916001</v>
      </c>
      <c r="K240">
        <v>390706666.66666657</v>
      </c>
    </row>
    <row r="241" spans="1:11">
      <c r="A241" t="s">
        <v>25</v>
      </c>
      <c r="B241">
        <v>7</v>
      </c>
      <c r="C241" s="2">
        <v>145940000</v>
      </c>
      <c r="E241" t="s">
        <v>25</v>
      </c>
      <c r="F241">
        <v>7</v>
      </c>
      <c r="G241" s="2">
        <v>59639634.01134219</v>
      </c>
      <c r="H241" s="2">
        <v>121391946.226161</v>
      </c>
      <c r="I241" s="2">
        <v>56063286.758157499</v>
      </c>
      <c r="J241" s="2">
        <v>104753933.942563</v>
      </c>
      <c r="K241">
        <v>145940000</v>
      </c>
    </row>
    <row r="242" spans="1:11">
      <c r="A242" t="s">
        <v>26</v>
      </c>
      <c r="B242">
        <v>7</v>
      </c>
      <c r="C242" s="2">
        <v>94486666.666666672</v>
      </c>
      <c r="E242" t="s">
        <v>26</v>
      </c>
      <c r="F242">
        <v>7</v>
      </c>
      <c r="G242" s="2">
        <v>76658137.953943714</v>
      </c>
      <c r="H242" s="2">
        <v>238938686.119367</v>
      </c>
      <c r="I242" s="2">
        <v>68673435.396211699</v>
      </c>
      <c r="J242" s="2">
        <v>166031313.06129599</v>
      </c>
      <c r="K242">
        <v>94486666.666666672</v>
      </c>
    </row>
    <row r="243" spans="1:11">
      <c r="A243" t="s">
        <v>27</v>
      </c>
      <c r="B243">
        <v>7</v>
      </c>
      <c r="C243" s="2">
        <v>46336666.666666672</v>
      </c>
      <c r="E243" t="s">
        <v>27</v>
      </c>
      <c r="F243">
        <v>7</v>
      </c>
      <c r="G243" s="2">
        <v>53299682.719546735</v>
      </c>
      <c r="H243" s="2">
        <v>97078551.021282703</v>
      </c>
      <c r="I243" s="2">
        <v>36072202.214972802</v>
      </c>
      <c r="J243" s="2">
        <v>47456554.6084866</v>
      </c>
      <c r="K243">
        <v>46336666.666666672</v>
      </c>
    </row>
    <row r="244" spans="1:11">
      <c r="A244" t="s">
        <v>30</v>
      </c>
      <c r="B244">
        <v>7</v>
      </c>
      <c r="C244" s="2">
        <v>22876666.666666668</v>
      </c>
      <c r="E244" t="s">
        <v>30</v>
      </c>
      <c r="F244">
        <v>7</v>
      </c>
      <c r="G244" s="2">
        <v>38577487.84673392</v>
      </c>
      <c r="H244" s="2">
        <v>63865012.622062899</v>
      </c>
      <c r="I244" s="2">
        <v>32889499.496543601</v>
      </c>
      <c r="J244" s="2">
        <v>69059474.880060002</v>
      </c>
      <c r="K244">
        <v>22876666.666666668</v>
      </c>
    </row>
    <row r="245" spans="1:11">
      <c r="A245" t="s">
        <v>29</v>
      </c>
      <c r="B245">
        <v>7</v>
      </c>
      <c r="C245" s="2">
        <v>642453333.33333337</v>
      </c>
      <c r="E245" t="s">
        <v>29</v>
      </c>
      <c r="F245">
        <v>7</v>
      </c>
      <c r="G245" s="2">
        <v>20433513.647246718</v>
      </c>
      <c r="H245" s="2">
        <v>28882849.651407398</v>
      </c>
      <c r="I245" s="2">
        <v>19239531.097908098</v>
      </c>
      <c r="J245" s="2">
        <v>31964860.9787766</v>
      </c>
      <c r="K245">
        <v>642453333.33333337</v>
      </c>
    </row>
    <row r="246" spans="1:11">
      <c r="A246" t="s">
        <v>10</v>
      </c>
      <c r="B246">
        <v>7</v>
      </c>
      <c r="C246" s="2">
        <v>361963333.33333331</v>
      </c>
      <c r="E246" t="s">
        <v>10</v>
      </c>
      <c r="F246">
        <v>7</v>
      </c>
      <c r="G246" s="2">
        <v>318979200.44015223</v>
      </c>
      <c r="H246" s="2">
        <v>874487705.51563001</v>
      </c>
      <c r="I246" s="2">
        <v>275131026.650042</v>
      </c>
      <c r="J246" s="2">
        <v>584994631.83453298</v>
      </c>
      <c r="K246">
        <v>361963333.33333331</v>
      </c>
    </row>
    <row r="247" spans="1:11">
      <c r="A247" t="s">
        <v>28</v>
      </c>
      <c r="B247">
        <v>7</v>
      </c>
      <c r="C247" s="2">
        <v>94933333.333333328</v>
      </c>
      <c r="E247" t="s">
        <v>28</v>
      </c>
      <c r="F247">
        <v>7</v>
      </c>
      <c r="G247" s="2">
        <v>181609679.77235934</v>
      </c>
      <c r="H247" s="2">
        <v>258733022.87515599</v>
      </c>
      <c r="I247" s="2">
        <v>138229770.23881799</v>
      </c>
      <c r="J247" s="2">
        <v>243378192.635443</v>
      </c>
      <c r="K247">
        <v>94933333.333333328</v>
      </c>
    </row>
    <row r="248" spans="1:11">
      <c r="A248" t="s">
        <v>7</v>
      </c>
      <c r="B248">
        <v>7</v>
      </c>
      <c r="C248" s="2">
        <v>50273333.333333336</v>
      </c>
      <c r="E248" t="s">
        <v>7</v>
      </c>
      <c r="F248">
        <v>7</v>
      </c>
      <c r="G248" s="2">
        <v>68476492.729871258</v>
      </c>
      <c r="H248" s="2">
        <v>97421229.619884506</v>
      </c>
      <c r="I248" s="2">
        <v>76000000</v>
      </c>
      <c r="J248" s="2">
        <v>75839512.303496599</v>
      </c>
      <c r="K248">
        <v>50273333.333333336</v>
      </c>
    </row>
    <row r="249" spans="1:11">
      <c r="E249" t="s">
        <v>3</v>
      </c>
      <c r="F249">
        <v>8</v>
      </c>
      <c r="G249" s="2">
        <v>100262067.54001331</v>
      </c>
      <c r="H249" s="2">
        <v>144018460.31930599</v>
      </c>
      <c r="I249" s="2">
        <v>73640775.535997599</v>
      </c>
      <c r="J249" s="2">
        <v>165598746.48186001</v>
      </c>
      <c r="K249">
        <v>278676666.66666669</v>
      </c>
    </row>
    <row r="250" spans="1:11">
      <c r="E250" t="s">
        <v>5</v>
      </c>
      <c r="F250">
        <v>8</v>
      </c>
      <c r="G250" s="2">
        <v>130482866.22066946</v>
      </c>
      <c r="H250" s="2">
        <v>141509685.39414901</v>
      </c>
      <c r="I250" s="2">
        <v>105165509.721323</v>
      </c>
      <c r="J250" s="2">
        <v>260587888.39631599</v>
      </c>
      <c r="K250">
        <v>207866666.66666672</v>
      </c>
    </row>
    <row r="251" spans="1:11">
      <c r="E251" t="s">
        <v>4</v>
      </c>
      <c r="F251">
        <v>8</v>
      </c>
      <c r="G251" s="2">
        <v>17373502.096317284</v>
      </c>
      <c r="H251" s="2">
        <v>38831420.408513002</v>
      </c>
      <c r="I251" s="2">
        <v>14363537.0778841</v>
      </c>
      <c r="J251" s="2">
        <v>14448117.87049</v>
      </c>
      <c r="K251">
        <v>14166666.66666667</v>
      </c>
    </row>
    <row r="252" spans="1:11">
      <c r="E252" t="s">
        <v>6</v>
      </c>
      <c r="F252">
        <v>8</v>
      </c>
      <c r="G252" s="2">
        <v>39933432.348300703</v>
      </c>
      <c r="H252" s="2">
        <v>85865977.818876505</v>
      </c>
      <c r="I252" s="2">
        <v>33410737.667553201</v>
      </c>
      <c r="J252" s="2">
        <v>65911413.6496666</v>
      </c>
      <c r="K252">
        <v>53636666.666666664</v>
      </c>
    </row>
    <row r="253" spans="1:11">
      <c r="E253" t="s">
        <v>15</v>
      </c>
      <c r="F253">
        <v>8</v>
      </c>
      <c r="G253" s="2">
        <v>24975801.804673713</v>
      </c>
      <c r="H253" s="2">
        <v>32095462.0173041</v>
      </c>
      <c r="I253" s="2">
        <v>19276423.3909599</v>
      </c>
      <c r="J253" s="2">
        <v>36032391.606720001</v>
      </c>
      <c r="K253">
        <v>25736666.666666672</v>
      </c>
    </row>
    <row r="254" spans="1:11">
      <c r="E254" t="s">
        <v>8</v>
      </c>
      <c r="F254">
        <v>8</v>
      </c>
      <c r="G254" s="2">
        <v>93703505.085580871</v>
      </c>
      <c r="H254" s="2">
        <v>144523107.21372199</v>
      </c>
      <c r="I254" s="2">
        <v>74504067.136244804</v>
      </c>
      <c r="J254" s="2">
        <v>149672294.463236</v>
      </c>
      <c r="K254">
        <v>120146666.6666667</v>
      </c>
    </row>
    <row r="255" spans="1:11">
      <c r="E255" t="s">
        <v>2</v>
      </c>
      <c r="F255">
        <v>8</v>
      </c>
      <c r="G255" s="2">
        <v>53900105.245587096</v>
      </c>
      <c r="H255" s="2">
        <v>90256007.029491901</v>
      </c>
      <c r="I255" s="2">
        <v>51881024.717126399</v>
      </c>
      <c r="J255" s="2">
        <v>109918011.724666</v>
      </c>
      <c r="K255">
        <v>175643333.33333328</v>
      </c>
    </row>
    <row r="256" spans="1:11">
      <c r="E256" t="s">
        <v>9</v>
      </c>
      <c r="F256">
        <v>8</v>
      </c>
      <c r="G256" s="2">
        <v>10832677.638555599</v>
      </c>
      <c r="H256" s="2">
        <v>19549537.0277058</v>
      </c>
      <c r="I256" s="2">
        <v>10906152.9393126</v>
      </c>
      <c r="J256" s="2">
        <v>12250315.9291633</v>
      </c>
      <c r="K256">
        <v>33456666.666666664</v>
      </c>
    </row>
    <row r="257" spans="5:11">
      <c r="E257" t="s">
        <v>11</v>
      </c>
      <c r="F257">
        <v>8</v>
      </c>
      <c r="G257" s="2">
        <v>113434377.55623865</v>
      </c>
      <c r="H257" s="2">
        <v>138078074.43680301</v>
      </c>
      <c r="I257" s="2">
        <v>101242431.180059</v>
      </c>
      <c r="J257" s="2">
        <v>216483776.39719599</v>
      </c>
      <c r="K257">
        <v>420420000</v>
      </c>
    </row>
    <row r="258" spans="5:11">
      <c r="E258" t="s">
        <v>12</v>
      </c>
      <c r="F258">
        <v>8</v>
      </c>
      <c r="G258" s="2">
        <v>641124363.11631739</v>
      </c>
      <c r="H258" s="2">
        <v>961702246.790573</v>
      </c>
      <c r="I258" s="2">
        <v>430383305.85356498</v>
      </c>
      <c r="J258" s="2">
        <v>862417408.56336606</v>
      </c>
      <c r="K258">
        <v>861783333.33333325</v>
      </c>
    </row>
    <row r="259" spans="5:11">
      <c r="E259" t="s">
        <v>1</v>
      </c>
      <c r="F259">
        <v>8</v>
      </c>
      <c r="G259" s="2">
        <v>692087193.15439355</v>
      </c>
      <c r="H259" s="2">
        <v>1210014522.54667</v>
      </c>
      <c r="I259" s="2">
        <v>619020456.66981304</v>
      </c>
      <c r="J259" s="2">
        <v>1562858160.6305399</v>
      </c>
      <c r="K259">
        <v>1496800000</v>
      </c>
    </row>
    <row r="260" spans="5:11">
      <c r="E260" t="s">
        <v>13</v>
      </c>
      <c r="F260">
        <v>8</v>
      </c>
      <c r="G260" s="2">
        <v>517761919.34304875</v>
      </c>
      <c r="H260" s="2">
        <v>674602881.53388202</v>
      </c>
      <c r="I260" s="2">
        <v>438011934.54932898</v>
      </c>
      <c r="J260" s="2">
        <v>927374883.72551894</v>
      </c>
      <c r="K260">
        <v>876653333.33333325</v>
      </c>
    </row>
    <row r="261" spans="5:11">
      <c r="E261" t="s">
        <v>14</v>
      </c>
      <c r="F261">
        <v>8</v>
      </c>
      <c r="G261" s="2">
        <v>65152072.786987908</v>
      </c>
      <c r="H261" s="2">
        <v>234964552.009422</v>
      </c>
      <c r="I261" s="2">
        <v>69536125.032419294</v>
      </c>
      <c r="J261" s="2">
        <v>128478724.29337899</v>
      </c>
      <c r="K261">
        <v>214226666.66666669</v>
      </c>
    </row>
    <row r="262" spans="5:11">
      <c r="E262" t="s">
        <v>16</v>
      </c>
      <c r="F262">
        <v>8</v>
      </c>
      <c r="G262" s="2">
        <v>57091147.514269032</v>
      </c>
      <c r="H262" s="2">
        <v>88950155.114563301</v>
      </c>
      <c r="I262" s="2">
        <v>52906609.8112951</v>
      </c>
      <c r="J262" s="2">
        <v>120124131.576346</v>
      </c>
      <c r="K262">
        <v>88663333.333333343</v>
      </c>
    </row>
    <row r="263" spans="5:11">
      <c r="E263" t="s">
        <v>17</v>
      </c>
      <c r="F263">
        <v>8</v>
      </c>
      <c r="G263" s="2">
        <v>40951726.482825726</v>
      </c>
      <c r="H263" s="2">
        <v>83012828.021347702</v>
      </c>
      <c r="I263" s="2">
        <v>49384743.4350852</v>
      </c>
      <c r="J263" s="2">
        <v>87517626.887710005</v>
      </c>
      <c r="K263">
        <v>162983333.33333328</v>
      </c>
    </row>
    <row r="264" spans="5:11">
      <c r="E264" t="s">
        <v>18</v>
      </c>
      <c r="F264">
        <v>8</v>
      </c>
      <c r="G264" s="2">
        <v>432290113.74068308</v>
      </c>
      <c r="H264" s="2">
        <v>617042216.85868394</v>
      </c>
      <c r="I264" s="2">
        <v>343364360.05471998</v>
      </c>
      <c r="J264" s="2">
        <v>780202182.43888605</v>
      </c>
      <c r="K264">
        <v>690666666.66666663</v>
      </c>
    </row>
    <row r="265" spans="5:11">
      <c r="E265" t="s">
        <v>21</v>
      </c>
      <c r="F265">
        <v>8</v>
      </c>
      <c r="G265" s="2">
        <v>11942490.04458734</v>
      </c>
      <c r="H265" s="2">
        <v>21069811.243269499</v>
      </c>
      <c r="I265" s="2">
        <v>8956684.9823007695</v>
      </c>
      <c r="J265" s="2">
        <v>21118390.498693299</v>
      </c>
      <c r="K265">
        <v>29336666.666666668</v>
      </c>
    </row>
    <row r="266" spans="5:11">
      <c r="E266" t="s">
        <v>19</v>
      </c>
      <c r="F266">
        <v>8</v>
      </c>
      <c r="G266" s="2">
        <v>14365890.683150113</v>
      </c>
      <c r="H266" s="2">
        <v>35008569.9699696</v>
      </c>
      <c r="I266" s="2">
        <v>12166542.974144099</v>
      </c>
      <c r="J266" s="2">
        <v>29946156.4334266</v>
      </c>
      <c r="K266">
        <v>67643333.333333328</v>
      </c>
    </row>
    <row r="267" spans="5:11">
      <c r="E267" t="s">
        <v>20</v>
      </c>
      <c r="F267">
        <v>8</v>
      </c>
      <c r="G267" s="2">
        <v>12881843.352636097</v>
      </c>
      <c r="H267" s="2">
        <v>11086072.2958146</v>
      </c>
      <c r="I267" s="2">
        <v>7427960.9342139103</v>
      </c>
      <c r="J267" s="2">
        <v>6199963.66787</v>
      </c>
      <c r="K267">
        <v>19346666.666666672</v>
      </c>
    </row>
    <row r="268" spans="5:11">
      <c r="E268" t="s">
        <v>22</v>
      </c>
      <c r="F268">
        <v>8</v>
      </c>
      <c r="G268" s="2">
        <v>12826259.74504249</v>
      </c>
      <c r="H268" s="2">
        <v>19415710.204256501</v>
      </c>
      <c r="I268" s="2">
        <v>7768652.7413661703</v>
      </c>
      <c r="J268" s="2">
        <v>10766212.2289233</v>
      </c>
      <c r="K268">
        <v>12380000</v>
      </c>
    </row>
    <row r="269" spans="5:11">
      <c r="E269" t="s">
        <v>23</v>
      </c>
      <c r="F269">
        <v>8</v>
      </c>
      <c r="G269" s="2">
        <v>150220317.49299133</v>
      </c>
      <c r="H269" s="2">
        <v>240593768.43732399</v>
      </c>
      <c r="I269" s="2">
        <v>149206802.65823299</v>
      </c>
      <c r="J269" s="2">
        <v>402793727.50908601</v>
      </c>
      <c r="K269">
        <v>437470000</v>
      </c>
    </row>
    <row r="270" spans="5:11">
      <c r="E270" t="s">
        <v>32</v>
      </c>
      <c r="F270">
        <v>8</v>
      </c>
      <c r="G270" s="2">
        <v>44550000</v>
      </c>
      <c r="H270" s="2">
        <v>46891769.834071599</v>
      </c>
      <c r="I270" s="2">
        <v>42356991.576593101</v>
      </c>
      <c r="J270" s="2">
        <v>42356991.576593101</v>
      </c>
      <c r="K270">
        <v>46100000</v>
      </c>
    </row>
    <row r="271" spans="5:11">
      <c r="E271" t="s">
        <v>33</v>
      </c>
      <c r="F271">
        <v>8</v>
      </c>
      <c r="G271" s="2">
        <v>44550000</v>
      </c>
      <c r="H271" s="2">
        <v>46891769.834071599</v>
      </c>
      <c r="I271" s="2">
        <v>55421580.464238301</v>
      </c>
      <c r="J271" s="2">
        <v>55421580.464238301</v>
      </c>
      <c r="K271">
        <v>54700000</v>
      </c>
    </row>
    <row r="272" spans="5:11">
      <c r="E272" t="s">
        <v>34</v>
      </c>
      <c r="F272">
        <v>8</v>
      </c>
      <c r="G272" s="2">
        <v>33000000</v>
      </c>
      <c r="H272" s="2">
        <v>34734644.3215345</v>
      </c>
      <c r="I272" s="2">
        <v>34066679.002118103</v>
      </c>
      <c r="J272" s="2">
        <v>34066679.002118103</v>
      </c>
      <c r="K272">
        <v>34800000</v>
      </c>
    </row>
    <row r="273" spans="5:11">
      <c r="E273" t="s">
        <v>35</v>
      </c>
      <c r="F273">
        <v>8</v>
      </c>
      <c r="G273" s="2">
        <v>23100000.000000004</v>
      </c>
      <c r="H273" s="2">
        <v>24314251.025074098</v>
      </c>
      <c r="I273" s="2">
        <v>29225399.2812743</v>
      </c>
      <c r="J273" s="2">
        <v>29225399.2812743</v>
      </c>
      <c r="K273">
        <v>28500000</v>
      </c>
    </row>
    <row r="274" spans="5:11">
      <c r="E274" t="s">
        <v>36</v>
      </c>
      <c r="F274">
        <v>8</v>
      </c>
      <c r="G274" s="2">
        <v>19800000</v>
      </c>
      <c r="H274" s="2">
        <v>20840786.592920698</v>
      </c>
      <c r="I274" s="2">
        <v>28929349.6757759</v>
      </c>
      <c r="J274" s="2">
        <v>28929349.6757759</v>
      </c>
      <c r="K274">
        <v>25500000</v>
      </c>
    </row>
    <row r="275" spans="5:11">
      <c r="E275" t="s">
        <v>24</v>
      </c>
      <c r="F275">
        <v>8</v>
      </c>
      <c r="G275" s="2">
        <v>242290683.72589469</v>
      </c>
      <c r="H275" s="2">
        <v>428975151.971178</v>
      </c>
      <c r="I275" s="2">
        <v>197767445.47184101</v>
      </c>
      <c r="J275" s="2">
        <v>380533325.47916001</v>
      </c>
      <c r="K275">
        <v>390706666.66666657</v>
      </c>
    </row>
    <row r="276" spans="5:11">
      <c r="E276" t="s">
        <v>25</v>
      </c>
      <c r="F276">
        <v>8</v>
      </c>
      <c r="G276" s="2">
        <v>63814408.392136149</v>
      </c>
      <c r="H276" s="2">
        <v>121391946.226161</v>
      </c>
      <c r="I276" s="2">
        <v>56063286.758157499</v>
      </c>
      <c r="J276" s="2">
        <v>104753933.942563</v>
      </c>
      <c r="K276">
        <v>145940000</v>
      </c>
    </row>
    <row r="277" spans="5:11">
      <c r="E277" t="s">
        <v>26</v>
      </c>
      <c r="F277">
        <v>8</v>
      </c>
      <c r="G277" s="2">
        <v>82024207.610719785</v>
      </c>
      <c r="H277" s="2">
        <v>238938686.119367</v>
      </c>
      <c r="I277" s="2">
        <v>68673435.396211699</v>
      </c>
      <c r="J277" s="2">
        <v>166031313.06129599</v>
      </c>
      <c r="K277">
        <v>94486666.666666672</v>
      </c>
    </row>
    <row r="278" spans="5:11">
      <c r="E278" t="s">
        <v>27</v>
      </c>
      <c r="F278">
        <v>8</v>
      </c>
      <c r="G278" s="2">
        <v>57030660.509915009</v>
      </c>
      <c r="H278" s="2">
        <v>97078551.021282703</v>
      </c>
      <c r="I278" s="2">
        <v>36072202.214972802</v>
      </c>
      <c r="J278" s="2">
        <v>47456554.6084866</v>
      </c>
      <c r="K278">
        <v>46336666.666666672</v>
      </c>
    </row>
    <row r="279" spans="5:11">
      <c r="E279" t="s">
        <v>30</v>
      </c>
      <c r="F279">
        <v>8</v>
      </c>
      <c r="G279" s="2">
        <v>41277911.996005297</v>
      </c>
      <c r="H279" s="2">
        <v>63865012.622062899</v>
      </c>
      <c r="I279" s="2">
        <v>32889499.496543601</v>
      </c>
      <c r="J279" s="2">
        <v>69059474.880060002</v>
      </c>
      <c r="K279">
        <v>22876666.666666668</v>
      </c>
    </row>
    <row r="280" spans="5:11">
      <c r="E280" t="s">
        <v>29</v>
      </c>
      <c r="F280">
        <v>8</v>
      </c>
      <c r="G280" s="2">
        <v>21863859.60255399</v>
      </c>
      <c r="H280" s="2">
        <v>28882849.651407398</v>
      </c>
      <c r="I280" s="2">
        <v>19239531.097908098</v>
      </c>
      <c r="J280" s="2">
        <v>31964860.9787766</v>
      </c>
      <c r="K280">
        <v>642453333.33333337</v>
      </c>
    </row>
    <row r="281" spans="5:11">
      <c r="E281" t="s">
        <v>10</v>
      </c>
      <c r="F281">
        <v>8</v>
      </c>
      <c r="G281" s="2">
        <v>341307744.47096288</v>
      </c>
      <c r="H281" s="2">
        <v>874487705.51563001</v>
      </c>
      <c r="I281" s="2">
        <v>275131026.650042</v>
      </c>
      <c r="J281" s="2">
        <v>584994631.83453298</v>
      </c>
      <c r="K281">
        <v>361963333.33333331</v>
      </c>
    </row>
    <row r="282" spans="5:11">
      <c r="E282" t="s">
        <v>28</v>
      </c>
      <c r="F282">
        <v>8</v>
      </c>
      <c r="G282" s="2">
        <v>194322357.35642451</v>
      </c>
      <c r="H282" s="2">
        <v>258733022.87515599</v>
      </c>
      <c r="I282" s="2">
        <v>138229770.23881799</v>
      </c>
      <c r="J282" s="2">
        <v>243378192.635443</v>
      </c>
      <c r="K282">
        <v>94933333.333333328</v>
      </c>
    </row>
    <row r="283" spans="5:11">
      <c r="E283" t="s">
        <v>7</v>
      </c>
      <c r="F283">
        <v>8</v>
      </c>
      <c r="G283" s="2">
        <v>73269847.220962256</v>
      </c>
      <c r="H283" s="2">
        <v>97421229.619884506</v>
      </c>
      <c r="I283" s="2">
        <v>76000000</v>
      </c>
      <c r="J283" s="2">
        <v>75839512.303496599</v>
      </c>
      <c r="K283">
        <v>50273333.333333336</v>
      </c>
    </row>
  </sheetData>
  <autoFilter ref="A1:C248" xr:uid="{B3E8F293-10D9-4872-B34A-E8860E662813}"/>
  <sortState xmlns:xlrd2="http://schemas.microsoft.com/office/spreadsheetml/2017/richdata2" ref="A4:C248">
    <sortCondition ref="B4:B248"/>
    <sortCondition ref="A4:A248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zoomScaleNormal="100" workbookViewId="0"/>
  </sheetViews>
  <sheetFormatPr defaultColWidth="9.1796875" defaultRowHeight="14.5"/>
  <cols>
    <col min="1" max="1" width="12" bestFit="1" customWidth="1"/>
    <col min="3" max="3" width="18.453125" bestFit="1" customWidth="1"/>
  </cols>
  <sheetData>
    <row r="1" spans="1:3">
      <c r="A1" t="s">
        <v>39</v>
      </c>
    </row>
    <row r="2" spans="1:3">
      <c r="A2" t="s">
        <v>40</v>
      </c>
    </row>
    <row r="3" spans="1:3">
      <c r="A3" t="s">
        <v>0</v>
      </c>
      <c r="B3" t="s">
        <v>31</v>
      </c>
      <c r="C3" t="s">
        <v>37</v>
      </c>
    </row>
    <row r="4" spans="1:3">
      <c r="A4" t="s">
        <v>3</v>
      </c>
      <c r="B4">
        <v>1</v>
      </c>
      <c r="C4">
        <v>22000</v>
      </c>
    </row>
    <row r="5" spans="1:3">
      <c r="A5" t="s">
        <v>4</v>
      </c>
      <c r="B5">
        <v>1</v>
      </c>
      <c r="C5">
        <v>22000</v>
      </c>
    </row>
    <row r="6" spans="1:3">
      <c r="A6" t="s">
        <v>5</v>
      </c>
      <c r="B6">
        <v>1</v>
      </c>
      <c r="C6">
        <v>22000</v>
      </c>
    </row>
    <row r="7" spans="1:3">
      <c r="A7" t="s">
        <v>6</v>
      </c>
      <c r="B7">
        <v>1</v>
      </c>
      <c r="C7">
        <v>22000</v>
      </c>
    </row>
    <row r="8" spans="1:3">
      <c r="A8" t="s">
        <v>7</v>
      </c>
      <c r="B8">
        <v>1</v>
      </c>
      <c r="C8">
        <v>22000</v>
      </c>
    </row>
    <row r="9" spans="1:3">
      <c r="A9" t="s">
        <v>8</v>
      </c>
      <c r="B9">
        <v>1</v>
      </c>
      <c r="C9">
        <v>22000</v>
      </c>
    </row>
    <row r="10" spans="1:3">
      <c r="A10" t="s">
        <v>1</v>
      </c>
      <c r="B10">
        <v>1</v>
      </c>
      <c r="C10">
        <v>22000</v>
      </c>
    </row>
    <row r="11" spans="1:3">
      <c r="A11" t="s">
        <v>2</v>
      </c>
      <c r="B11">
        <v>1</v>
      </c>
      <c r="C11">
        <v>22000</v>
      </c>
    </row>
    <row r="12" spans="1:3">
      <c r="A12" t="s">
        <v>9</v>
      </c>
      <c r="B12">
        <v>1</v>
      </c>
      <c r="C12">
        <v>22000</v>
      </c>
    </row>
    <row r="13" spans="1:3">
      <c r="A13" t="s">
        <v>10</v>
      </c>
      <c r="B13">
        <v>1</v>
      </c>
      <c r="C13">
        <v>22000</v>
      </c>
    </row>
    <row r="14" spans="1:3">
      <c r="A14" t="s">
        <v>11</v>
      </c>
      <c r="B14">
        <v>1</v>
      </c>
      <c r="C14">
        <v>22000</v>
      </c>
    </row>
    <row r="15" spans="1:3">
      <c r="A15" t="s">
        <v>12</v>
      </c>
      <c r="B15">
        <v>1</v>
      </c>
      <c r="C15">
        <v>22000</v>
      </c>
    </row>
    <row r="16" spans="1:3">
      <c r="A16" t="s">
        <v>13</v>
      </c>
      <c r="B16">
        <v>1</v>
      </c>
      <c r="C16">
        <v>22000</v>
      </c>
    </row>
    <row r="17" spans="1:3">
      <c r="A17" t="s">
        <v>14</v>
      </c>
      <c r="B17">
        <v>1</v>
      </c>
      <c r="C17">
        <v>22000</v>
      </c>
    </row>
    <row r="18" spans="1:3">
      <c r="A18" t="s">
        <v>15</v>
      </c>
      <c r="B18">
        <v>1</v>
      </c>
      <c r="C18">
        <v>22000</v>
      </c>
    </row>
    <row r="19" spans="1:3">
      <c r="A19" t="s">
        <v>16</v>
      </c>
      <c r="B19">
        <v>1</v>
      </c>
      <c r="C19">
        <v>22000</v>
      </c>
    </row>
    <row r="20" spans="1:3">
      <c r="A20" t="s">
        <v>17</v>
      </c>
      <c r="B20">
        <v>1</v>
      </c>
      <c r="C20">
        <v>22000</v>
      </c>
    </row>
    <row r="21" spans="1:3">
      <c r="A21" t="s">
        <v>18</v>
      </c>
      <c r="B21">
        <v>1</v>
      </c>
      <c r="C21">
        <v>22000</v>
      </c>
    </row>
    <row r="22" spans="1:3">
      <c r="A22" t="s">
        <v>19</v>
      </c>
      <c r="B22">
        <v>1</v>
      </c>
      <c r="C22">
        <v>22000</v>
      </c>
    </row>
    <row r="23" spans="1:3">
      <c r="A23" t="s">
        <v>20</v>
      </c>
      <c r="B23">
        <v>1</v>
      </c>
      <c r="C23">
        <v>22000</v>
      </c>
    </row>
    <row r="24" spans="1:3">
      <c r="A24" t="s">
        <v>21</v>
      </c>
      <c r="B24">
        <v>1</v>
      </c>
      <c r="C24">
        <v>22000</v>
      </c>
    </row>
    <row r="25" spans="1:3">
      <c r="A25" t="s">
        <v>22</v>
      </c>
      <c r="B25">
        <v>1</v>
      </c>
      <c r="C25">
        <v>22000</v>
      </c>
    </row>
    <row r="26" spans="1:3">
      <c r="A26" t="s">
        <v>23</v>
      </c>
      <c r="B26">
        <v>1</v>
      </c>
      <c r="C26">
        <v>22000</v>
      </c>
    </row>
    <row r="27" spans="1:3">
      <c r="A27" t="s">
        <v>32</v>
      </c>
      <c r="B27">
        <v>1</v>
      </c>
      <c r="C27">
        <v>22000</v>
      </c>
    </row>
    <row r="28" spans="1:3">
      <c r="A28" t="s">
        <v>33</v>
      </c>
      <c r="B28">
        <v>1</v>
      </c>
      <c r="C28">
        <v>22000</v>
      </c>
    </row>
    <row r="29" spans="1:3">
      <c r="A29" t="s">
        <v>34</v>
      </c>
      <c r="B29">
        <v>1</v>
      </c>
      <c r="C29">
        <v>22000</v>
      </c>
    </row>
    <row r="30" spans="1:3">
      <c r="A30" t="s">
        <v>35</v>
      </c>
      <c r="B30">
        <v>1</v>
      </c>
      <c r="C30">
        <v>22000</v>
      </c>
    </row>
    <row r="31" spans="1:3">
      <c r="A31" t="s">
        <v>36</v>
      </c>
      <c r="B31">
        <v>1</v>
      </c>
      <c r="C31">
        <v>22000</v>
      </c>
    </row>
    <row r="32" spans="1:3">
      <c r="A32" t="s">
        <v>24</v>
      </c>
      <c r="B32">
        <v>1</v>
      </c>
      <c r="C32">
        <v>22000</v>
      </c>
    </row>
    <row r="33" spans="1:3">
      <c r="A33" t="s">
        <v>25</v>
      </c>
      <c r="B33">
        <v>1</v>
      </c>
      <c r="C33">
        <v>22000</v>
      </c>
    </row>
    <row r="34" spans="1:3">
      <c r="A34" t="s">
        <v>26</v>
      </c>
      <c r="B34">
        <v>1</v>
      </c>
      <c r="C34">
        <v>22000</v>
      </c>
    </row>
    <row r="35" spans="1:3">
      <c r="A35" t="s">
        <v>27</v>
      </c>
      <c r="B35">
        <v>1</v>
      </c>
      <c r="C35">
        <v>22000</v>
      </c>
    </row>
    <row r="36" spans="1:3">
      <c r="A36" t="s">
        <v>28</v>
      </c>
      <c r="B36">
        <v>1</v>
      </c>
      <c r="C36">
        <v>22000</v>
      </c>
    </row>
    <row r="37" spans="1:3">
      <c r="A37" t="s">
        <v>29</v>
      </c>
      <c r="B37">
        <v>1</v>
      </c>
      <c r="C37">
        <v>22000</v>
      </c>
    </row>
    <row r="38" spans="1:3">
      <c r="A38" t="s">
        <v>30</v>
      </c>
      <c r="B38">
        <v>1</v>
      </c>
      <c r="C38">
        <v>22000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09B3-9ADB-4868-8E80-A48A97AC1999}">
  <dimension ref="A1:B38"/>
  <sheetViews>
    <sheetView workbookViewId="0"/>
  </sheetViews>
  <sheetFormatPr defaultColWidth="9.1796875" defaultRowHeight="14.5"/>
  <cols>
    <col min="1" max="1" width="15" customWidth="1"/>
    <col min="2" max="2" width="40.1796875" bestFit="1" customWidth="1"/>
  </cols>
  <sheetData>
    <row r="1" spans="1:2">
      <c r="A1" t="s">
        <v>44</v>
      </c>
    </row>
    <row r="2" spans="1:2">
      <c r="A2" t="s">
        <v>43</v>
      </c>
    </row>
    <row r="3" spans="1:2">
      <c r="A3" t="s">
        <v>0</v>
      </c>
      <c r="B3" t="s">
        <v>42</v>
      </c>
    </row>
    <row r="4" spans="1:2">
      <c r="A4" t="s">
        <v>3</v>
      </c>
      <c r="B4">
        <v>45475000</v>
      </c>
    </row>
    <row r="5" spans="1:2">
      <c r="A5" t="s">
        <v>4</v>
      </c>
      <c r="B5">
        <v>5694540</v>
      </c>
    </row>
    <row r="6" spans="1:2">
      <c r="A6" t="s">
        <v>5</v>
      </c>
      <c r="B6">
        <v>470800</v>
      </c>
    </row>
    <row r="7" spans="1:2">
      <c r="A7" t="s">
        <v>6</v>
      </c>
      <c r="B7">
        <v>3971840</v>
      </c>
    </row>
    <row r="8" spans="1:2">
      <c r="A8" t="s">
        <v>7</v>
      </c>
      <c r="B8">
        <v>40660000</v>
      </c>
    </row>
    <row r="9" spans="1:2">
      <c r="A9" t="s">
        <v>8</v>
      </c>
      <c r="B9">
        <v>2433180.0000000005</v>
      </c>
    </row>
    <row r="10" spans="1:2">
      <c r="A10" t="s">
        <v>1</v>
      </c>
      <c r="B10">
        <v>23540000</v>
      </c>
    </row>
    <row r="11" spans="1:2">
      <c r="A11" t="s">
        <v>2</v>
      </c>
      <c r="B11">
        <v>33170</v>
      </c>
    </row>
    <row r="12" spans="1:2">
      <c r="A12" t="s">
        <v>9</v>
      </c>
      <c r="B12">
        <v>32100</v>
      </c>
    </row>
    <row r="13" spans="1:2">
      <c r="A13" t="s">
        <v>10</v>
      </c>
      <c r="B13">
        <v>44940000</v>
      </c>
    </row>
    <row r="14" spans="1:2">
      <c r="A14" t="s">
        <v>11</v>
      </c>
      <c r="B14">
        <v>16050000.000000002</v>
      </c>
    </row>
    <row r="15" spans="1:2">
      <c r="A15" t="s">
        <v>12</v>
      </c>
      <c r="B15">
        <v>77040000</v>
      </c>
    </row>
    <row r="16" spans="1:2">
      <c r="A16" t="s">
        <v>13</v>
      </c>
      <c r="B16">
        <v>6955000</v>
      </c>
    </row>
    <row r="17" spans="1:2">
      <c r="A17" t="s">
        <v>14</v>
      </c>
      <c r="B17">
        <v>7490000</v>
      </c>
    </row>
    <row r="18" spans="1:2">
      <c r="A18" t="s">
        <v>15</v>
      </c>
      <c r="B18">
        <v>6303370.0000000009</v>
      </c>
    </row>
    <row r="19" spans="1:2">
      <c r="A19" t="s">
        <v>16</v>
      </c>
      <c r="B19">
        <v>267500</v>
      </c>
    </row>
    <row r="20" spans="1:2">
      <c r="A20" t="s">
        <v>17</v>
      </c>
      <c r="B20">
        <v>802500</v>
      </c>
    </row>
    <row r="21" spans="1:2">
      <c r="A21" t="s">
        <v>18</v>
      </c>
      <c r="B21">
        <v>44940000</v>
      </c>
    </row>
    <row r="22" spans="1:2">
      <c r="A22" t="s">
        <v>19</v>
      </c>
      <c r="B22">
        <v>513600</v>
      </c>
    </row>
    <row r="23" spans="1:2">
      <c r="A23" t="s">
        <v>20</v>
      </c>
      <c r="B23">
        <v>133750</v>
      </c>
    </row>
    <row r="24" spans="1:2">
      <c r="A24" t="s">
        <v>21</v>
      </c>
      <c r="B24">
        <v>3263500</v>
      </c>
    </row>
    <row r="25" spans="1:2">
      <c r="A25" t="s">
        <v>22</v>
      </c>
      <c r="B25">
        <v>1728050.0000000002</v>
      </c>
    </row>
    <row r="26" spans="1:2">
      <c r="A26" t="s">
        <v>23</v>
      </c>
      <c r="B26">
        <v>203300</v>
      </c>
    </row>
    <row r="27" spans="1:2">
      <c r="A27" t="s">
        <v>32</v>
      </c>
      <c r="B27">
        <v>19613100</v>
      </c>
    </row>
    <row r="28" spans="1:2">
      <c r="A28" t="s">
        <v>33</v>
      </c>
      <c r="B28">
        <v>49787100</v>
      </c>
    </row>
    <row r="29" spans="1:2">
      <c r="A29" t="s">
        <v>34</v>
      </c>
      <c r="B29">
        <v>22630500</v>
      </c>
    </row>
    <row r="30" spans="1:2">
      <c r="A30" t="s">
        <v>35</v>
      </c>
      <c r="B30">
        <v>27156600</v>
      </c>
    </row>
    <row r="31" spans="1:2">
      <c r="A31" t="s">
        <v>36</v>
      </c>
      <c r="B31">
        <v>31682700</v>
      </c>
    </row>
    <row r="32" spans="1:2">
      <c r="A32" t="s">
        <v>24</v>
      </c>
      <c r="B32">
        <v>3210000</v>
      </c>
    </row>
    <row r="33" spans="1:2">
      <c r="A33" t="s">
        <v>25</v>
      </c>
      <c r="B33">
        <v>16050000.000000002</v>
      </c>
    </row>
    <row r="34" spans="1:2">
      <c r="A34" t="s">
        <v>26</v>
      </c>
      <c r="B34">
        <v>21400000</v>
      </c>
    </row>
    <row r="35" spans="1:2">
      <c r="A35" t="s">
        <v>27</v>
      </c>
      <c r="B35">
        <v>13910000</v>
      </c>
    </row>
    <row r="36" spans="1:2">
      <c r="A36" t="s">
        <v>28</v>
      </c>
      <c r="B36">
        <v>73830000</v>
      </c>
    </row>
    <row r="37" spans="1:2">
      <c r="A37" t="s">
        <v>29</v>
      </c>
      <c r="B37">
        <v>5510500</v>
      </c>
    </row>
    <row r="38" spans="1:2">
      <c r="A38" t="s">
        <v>30</v>
      </c>
      <c r="B38">
        <v>5885000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F967323C0D5D438811C071A0F9DCC2" ma:contentTypeVersion="9" ma:contentTypeDescription="Opprett et nytt dokument." ma:contentTypeScope="" ma:versionID="390af427c68d91651b27297d409805f1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04a8b543a4d6f9dfc96f99b4b97b7762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6F409C-0FFB-454E-947A-FC92DA461503}">
  <ds:schemaRefs>
    <ds:schemaRef ds:uri="http://schemas.microsoft.com/office/2006/metadata/properties"/>
    <ds:schemaRef ds:uri="http://schemas.microsoft.com/office/infopath/2007/PartnerControls"/>
    <ds:schemaRef ds:uri="d8af0d66-b3db-4c81-87bc-15f9b72a49e2"/>
    <ds:schemaRef ds:uri="c1406b29-91bf-464c-9cd2-26ba5eb06139"/>
  </ds:schemaRefs>
</ds:datastoreItem>
</file>

<file path=customXml/itemProps2.xml><?xml version="1.0" encoding="utf-8"?>
<ds:datastoreItem xmlns:ds="http://schemas.openxmlformats.org/officeDocument/2006/customXml" ds:itemID="{B906552A-67C1-4BBB-BBEE-5DE3B9C35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A7C42C-6C73-4D1D-9883-149383577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ElectricAnnualDemand</vt:lpstr>
      <vt:lpstr>NodeLostLoadCost</vt:lpstr>
      <vt:lpstr>HydroGenMaxAnnualProduction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Laura Paradiso</cp:lastModifiedBy>
  <dcterms:created xsi:type="dcterms:W3CDTF">2018-02-19T14:57:00Z</dcterms:created>
  <dcterms:modified xsi:type="dcterms:W3CDTF">2026-05-21T14:47:48Z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