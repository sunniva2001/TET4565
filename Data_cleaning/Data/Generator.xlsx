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14" documentId="13_ncr:1_{98F6D4EA-D0F8-44F3-A2F5-B65CFCD38A4B}" xr6:coauthVersionLast="47" xr6:coauthVersionMax="47" xr10:uidLastSave="{C25FC79D-5649-40EB-B080-B6C52F6AE284}"/>
  <bookViews>
    <workbookView xWindow="-110" yWindow="-110" windowWidth="19420" windowHeight="10300" tabRatio="788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ScaleFactorInitialCap" sheetId="22" r:id="rId7"/>
    <sheet name="RefInitialCap" sheetId="24" r:id="rId8"/>
    <sheet name="InitialCapacity" sheetId="13" r:id="rId9"/>
    <sheet name="MaxBuiltCapacity" sheetId="12" r:id="rId10"/>
    <sheet name="MaxInstalledCapacity" sheetId="25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CapitalCosts!$A$3:$C$143</definedName>
    <definedName name="_xlnm._FilterDatabase" localSheetId="13" hidden="1">CO2Content!$A$3:$B$23</definedName>
    <definedName name="_xlnm._FilterDatabase" localSheetId="5" hidden="1">Efficiency!$A$3:$C$3</definedName>
    <definedName name="_xlnm._FilterDatabase" localSheetId="1" hidden="1">FixedOMCosts!$A$3:$C$3</definedName>
    <definedName name="_xlnm._FilterDatabase" localSheetId="3" hidden="1">FuelCosts!$A$3:$C$143</definedName>
    <definedName name="_xlnm._FilterDatabase" localSheetId="12" hidden="1">GeneratorTypeAvailability!$A$3:$B$23</definedName>
    <definedName name="_xlnm._FilterDatabase" localSheetId="8" hidden="1">InitialCapacity!$A$1:$D$1115</definedName>
    <definedName name="_xlnm._FilterDatabase" localSheetId="14" hidden="1">Lifetime!$A$3:$B$23</definedName>
    <definedName name="_xlnm._FilterDatabase" localSheetId="9" hidden="1">MaxBuiltCapacity!$A$1:$D$243</definedName>
    <definedName name="_xlnm._FilterDatabase" localSheetId="10" hidden="1">MaxInstalledCapacity!$A$1:$F$423</definedName>
    <definedName name="_xlnm._FilterDatabase" localSheetId="11" hidden="1">RampRate!$A$3:$B$16</definedName>
    <definedName name="_xlnm._FilterDatabase" localSheetId="7" hidden="1">RefInitialCap!$A$3:$C$435</definedName>
    <definedName name="_xlnm._FilterDatabase" localSheetId="6" hidden="1">ScaleFactorInitialCap!$A$3:$C$51</definedName>
    <definedName name="_xlnm._FilterDatabase" localSheetId="2" hidden="1">VariableOMCosts!$A$3:$B$23</definedName>
    <definedName name="arcs" localSheetId="7">#REF!</definedName>
    <definedName name="arcs">#REF!</definedName>
    <definedName name="gen">Lifetime!$A$3:$B$5</definedName>
    <definedName name="Gene1" localSheetId="7">#REF!</definedName>
    <definedName name="Gene1">#REF!</definedName>
    <definedName name="gensOfNode" localSheetId="7">#REF!</definedName>
    <definedName name="gensOfNode">#REF!</definedName>
    <definedName name="gent" localSheetId="7">#REF!</definedName>
    <definedName name="gent">#REF!</definedName>
    <definedName name="initialCap" localSheetId="7">#REF!,#REF!</definedName>
    <definedName name="initialCap">#REF!,#REF!</definedName>
    <definedName name="initialCap2">InitialCapacity!$B$3:$C$4</definedName>
    <definedName name="intlinks1" localSheetId="7">#REF!</definedName>
    <definedName name="intlinks1">#REF!</definedName>
    <definedName name="invCost" localSheetId="7">#REF!</definedName>
    <definedName name="invCost">#REF!</definedName>
    <definedName name="margCost" localSheetId="7">#REF!,#REF!</definedName>
    <definedName name="margCost">#REF!,#REF!</definedName>
    <definedName name="margCost2" localSheetId="7">#REF!</definedName>
    <definedName name="margCost2">#REF!</definedName>
    <definedName name="maxBuiltCap" localSheetId="7">#REF!,#REF!</definedName>
    <definedName name="maxBuiltCap">#REF!,#REF!</definedName>
    <definedName name="maxBuiltCap2">MaxBuiltCapacity!$B$3:$D$3</definedName>
    <definedName name="maxInstalledCap" localSheetId="7">#REF!,#REF!</definedName>
    <definedName name="maxInstalledCap">#REF!,#REF!</definedName>
    <definedName name="maxInstalledCap2" localSheetId="10">MaxInstalledCapacity!$A$3:$C$6</definedName>
    <definedName name="maxInstalledCap2">#REF!</definedName>
    <definedName name="nodes" localSheetId="7">#REF!</definedName>
    <definedName name="nodes">#REF!</definedName>
    <definedName name="ophours1" localSheetId="7">#REF!</definedName>
    <definedName name="ophours1">#REF!</definedName>
    <definedName name="period1" localSheetId="7">#REF!</definedName>
    <definedName name="period1">#REF!</definedName>
    <definedName name="scen" localSheetId="7">#REF!</definedName>
    <definedName name="scen">#REF!</definedName>
    <definedName name="seas1" localSheetId="7">#REF!</definedName>
    <definedName name="seas1">#REF!</definedName>
    <definedName name="StorageOfNodes" localSheetId="7">#REF!</definedName>
    <definedName name="StorageOfNodes">#REF!</definedName>
    <definedName name="storages1" localSheetId="7">#REF!</definedName>
    <definedName name="storages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03" i="24" l="1"/>
  <c r="C275" i="25"/>
  <c r="C273" i="25"/>
  <c r="C271" i="25"/>
  <c r="C267" i="25"/>
  <c r="C266" i="25"/>
  <c r="D264" i="25"/>
  <c r="D263" i="25"/>
  <c r="D262" i="25"/>
  <c r="D261" i="25"/>
  <c r="D260" i="25"/>
  <c r="D259" i="25"/>
  <c r="D258" i="25"/>
  <c r="D257" i="25"/>
  <c r="D256" i="25"/>
  <c r="D255" i="25"/>
  <c r="D254" i="25"/>
  <c r="D253" i="25"/>
  <c r="D252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G417" i="24"/>
  <c r="G404" i="24"/>
  <c r="G405" i="24"/>
  <c r="G406" i="24"/>
  <c r="G407" i="24"/>
  <c r="G408" i="24"/>
  <c r="G409" i="24"/>
  <c r="G410" i="24"/>
  <c r="G411" i="24"/>
  <c r="G412" i="24"/>
  <c r="G414" i="24"/>
  <c r="G415" i="24"/>
  <c r="G416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03" i="24"/>
  <c r="F404" i="24"/>
  <c r="F405" i="24"/>
  <c r="F406" i="24"/>
  <c r="F407" i="24"/>
  <c r="F408" i="24"/>
  <c r="F409" i="24"/>
  <c r="F410" i="24"/>
  <c r="F411" i="24"/>
  <c r="F412" i="24"/>
  <c r="F414" i="24"/>
  <c r="F415" i="24"/>
  <c r="F416" i="24"/>
  <c r="F417" i="24"/>
  <c r="F418" i="24"/>
  <c r="F419" i="24"/>
  <c r="F420" i="24"/>
  <c r="F421" i="24"/>
  <c r="F422" i="24"/>
  <c r="F423" i="24"/>
  <c r="F424" i="24"/>
  <c r="F425" i="24"/>
  <c r="F426" i="24"/>
  <c r="F427" i="24"/>
  <c r="F428" i="24"/>
  <c r="F429" i="24"/>
  <c r="F430" i="24"/>
  <c r="F431" i="24"/>
  <c r="F432" i="24"/>
  <c r="F433" i="24"/>
  <c r="F434" i="24"/>
  <c r="F435" i="24"/>
  <c r="C161" i="24"/>
  <c r="C103" i="24"/>
</calcChain>
</file>

<file path=xl/sharedStrings.xml><?xml version="1.0" encoding="utf-8"?>
<sst xmlns="http://schemas.openxmlformats.org/spreadsheetml/2006/main" count="3170" uniqueCount="152">
  <si>
    <t>Source: PRIMES 2018</t>
  </si>
  <si>
    <t>Description: Total capital costs for investment generator types (default: 0)</t>
  </si>
  <si>
    <t>GeneratorTechnology</t>
  </si>
  <si>
    <t>Period</t>
  </si>
  <si>
    <t>generatorCapitalCost in euro per kW</t>
  </si>
  <si>
    <t>Lignite</t>
  </si>
  <si>
    <t>Coal</t>
  </si>
  <si>
    <t>Coal CCS</t>
  </si>
  <si>
    <t>Gas OCGT</t>
  </si>
  <si>
    <t>Gas CCGT</t>
  </si>
  <si>
    <t>Gas CCS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</si>
  <si>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</si>
  <si>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</si>
  <si>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</si>
  <si>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</si>
  <si>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</si>
  <si>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</si>
  <si>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</si>
  <si>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</si>
  <si>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Waste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</si>
  <si>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</si>
  <si>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</si>
  <si>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</si>
  <si>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generatorVariableOMcosts in euro per MWh</t>
  </si>
  <si>
    <t>Source: EC reference scenario (decarb 2016)</t>
  </si>
  <si>
    <t>Description: Period dependent fuel cost for generator types (default: 0)</t>
  </si>
  <si>
    <t>generatorTypeFuelCost in euro per GJ</t>
  </si>
  <si>
    <t>Source: ZEP</t>
  </si>
  <si>
    <t>Description: Cost of transporting and storing captured CO2 (dependent on amount captured) (default: 0)</t>
  </si>
  <si>
    <t>CCS_TScost in euro per tCO2</t>
  </si>
  <si>
    <t>Description: Efficiency of converting fuel to electricity for generator types (default: 1)</t>
  </si>
  <si>
    <t>generatorEfficiency</t>
  </si>
  <si>
    <t>Source: STATISTICAL FACTSHEET 2018 (ENTSO-E)</t>
  </si>
  <si>
    <t>Node</t>
  </si>
  <si>
    <t>generatoReferenceInitialCapacity in MW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</si>
  <si>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</si>
  <si>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</si>
  <si>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</si>
  <si>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</si>
  <si>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</si>
  <si>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</si>
  <si>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</si>
  <si>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</si>
  <si>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</si>
  <si>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</si>
  <si>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</si>
  <si>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</si>
  <si>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</si>
  <si>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</si>
  <si>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</si>
  <si>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</si>
  <si>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</si>
  <si>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</si>
  <si>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</si>
  <si>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</si>
  <si>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</si>
  <si>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</si>
  <si>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</si>
  <si>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</si>
  <si>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</si>
  <si>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</si>
  <si>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</si>
  <si>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</si>
  <si>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</si>
  <si>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</si>
  <si>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NO1</t>
  </si>
  <si>
    <t>NO2</t>
  </si>
  <si>
    <t>NO3</t>
  </si>
  <si>
    <t>NO4</t>
  </si>
  <si>
    <t>NO5</t>
  </si>
  <si>
    <t>Source: JCR 2009</t>
  </si>
  <si>
    <t>Description: The share of capacity that has retired compared to the reference period (here: so '0' for 2020 (period 1)) (default: 0 - no retirement)</t>
  </si>
  <si>
    <t>generatorRetirementFactorInitialCap</t>
  </si>
  <si>
    <t>Comment</t>
  </si>
  <si>
    <t>JCR 2009</t>
  </si>
  <si>
    <t>Linear (all cap by 2045)</t>
  </si>
  <si>
    <t>Assumed</t>
  </si>
  <si>
    <t>Description: Capacity in investment period (here: only ref 2020 (period 1)) (default: 0)</t>
  </si>
  <si>
    <t>generatorInitialCapacity in MW</t>
  </si>
  <si>
    <t>Source: Assumed</t>
  </si>
  <si>
    <t>Description: Maximum capacity expansion of generator typess in one node and investment period (default: 500 000)</t>
  </si>
  <si>
    <t>generatorMaxBuildCapacity in MW</t>
  </si>
  <si>
    <t>CCS</t>
  </si>
  <si>
    <t>Source: See legend to the right</t>
  </si>
  <si>
    <t xml:space="preserve">Description: Maximum capacity that can exist (resource limit) of a generator (default: 0) </t>
  </si>
  <si>
    <t>Technology not allowed</t>
  </si>
  <si>
    <t>generatorMaxInstallCapacity  in MW</t>
  </si>
  <si>
    <t>NREAP (2020 number + 20%)</t>
  </si>
  <si>
    <t>Limits provided by members of ZEP TWG ME II for the report "CCS - Recommendations for transitional measures to drive deployment in Europe"</t>
  </si>
  <si>
    <r>
      <t xml:space="preserve">Based on Eurelectric Power statistics (201?). Installed capacity +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 xml:space="preserve">× max build bound </t>
    </r>
  </si>
  <si>
    <t>ENTSO-E Vision 1&amp;2 2030</t>
  </si>
  <si>
    <t>ReMiX capacities - H.C. Gils et al. (2017) Integrated modelling of variable renewable energy-based power supply in Europe, Energy, 123, doi:10.1016/j.energy.2017.01.115</t>
  </si>
  <si>
    <r>
      <t>Gianfranco &amp; Erica (5% of each country's agricultural land area coverage, 7 MW per 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Assume 50% of total area agricultural land.)</t>
    </r>
  </si>
  <si>
    <t>Capacity constraint. New investments will not increase production due to an energy constraint which is independent of the capacity investments</t>
  </si>
  <si>
    <t>Own guess</t>
  </si>
  <si>
    <t>Stated policy</t>
  </si>
  <si>
    <t>Nordic energy technology perspective 2016, p 244</t>
  </si>
  <si>
    <t>WasteToEnergy: 5% increase from existing capacity</t>
  </si>
  <si>
    <t>Hcoal</t>
  </si>
  <si>
    <t>Hydro_reg</t>
  </si>
  <si>
    <t>Hydro_ror</t>
  </si>
  <si>
    <t>Oil</t>
  </si>
  <si>
    <t>Wind_onshr</t>
  </si>
  <si>
    <t>Description: Maximum change of output from one hour compared to the previous hour for thermal generator types (default: 0)</t>
  </si>
  <si>
    <t>ThermalGenerators</t>
  </si>
  <si>
    <t>RampRate</t>
  </si>
  <si>
    <t>Description: Maximum available capacity of installed capacity of generator type in any hour (default: 0 - meaning time-dependent availability, see 'Stochastic')</t>
  </si>
  <si>
    <t>Generator</t>
  </si>
  <si>
    <t>GeneratorTypeAvailability</t>
  </si>
  <si>
    <t>Source: IPCC_2006_Guidelines_V2_2_Ch2_Stationary_Combustion</t>
  </si>
  <si>
    <t>Description: CO2 intensity of generator type depending on fuel (default: 0)</t>
  </si>
  <si>
    <t>CO2Content_in_tCO2/GJ</t>
  </si>
  <si>
    <t>Description: Lifetime of generator type in years (default: 0)</t>
  </si>
  <si>
    <t>generatorLifetime</t>
  </si>
  <si>
    <t>Wind offshore grounded</t>
  </si>
  <si>
    <t>Wind offshore floating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</si>
  <si>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</si>
  <si>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</si>
  <si>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</si>
  <si>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</si>
  <si>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</si>
  <si>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</si>
  <si>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</si>
  <si>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</si>
  <si>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</si>
  <si>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Utsira Nord</t>
  </si>
  <si>
    <r>
      <t xml:space="preserve">WindEurope's "Our energy, our future; How offshore wind will help Europe go carbon-neutral", Appendix A: </t>
    </r>
    <r>
      <rPr>
        <sz val="11"/>
        <color theme="1"/>
        <rFont val="Calibri (Body)"/>
      </rPr>
      <t>OFFSHORE WIND VISION FOR 2050</t>
    </r>
  </si>
  <si>
    <t>4cOffshore, gathered February 2021. Areas without capacity data are not included</t>
  </si>
  <si>
    <t>EU Commission JRC: Wind potentials for EU and neighbouring countries</t>
  </si>
  <si>
    <t>Scaled with respect to area in each group (each group is from the original source)</t>
  </si>
  <si>
    <t>Wind_offshr_grounded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</si>
  <si>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Germany &amp; Denmark capacities here are for the Baltic projects</t>
    </r>
  </si>
  <si>
    <t>Wind_offshr_floating</t>
  </si>
  <si>
    <t>Nordsoen</t>
  </si>
  <si>
    <t>Sorlige Nordsjo I</t>
  </si>
  <si>
    <t>Sorlige Nordsjo II</t>
  </si>
  <si>
    <t>Helgolander Bucht</t>
  </si>
  <si>
    <t>Bio CCS</t>
  </si>
  <si>
    <t>Lignite CCS</t>
  </si>
  <si>
    <t xml:space="preserve">Lignite CCS </t>
  </si>
  <si>
    <t xml:space="preserve">Gas CCS </t>
  </si>
  <si>
    <t xml:space="preserve">Oil </t>
  </si>
  <si>
    <t xml:space="preserve">Coal </t>
  </si>
  <si>
    <t xml:space="preserve">Bio </t>
  </si>
  <si>
    <t xml:space="preserve">Lignite </t>
  </si>
  <si>
    <t>Description: Capacity in the reference investment period (here: 2024) (default: 0)</t>
  </si>
  <si>
    <t>https://www.irena.org/-/media/Files/IRENA/Agency/Publication/2024/Jul/IRENA_G7_Floating_offshore_wind_outlook_2024.pdf</t>
  </si>
  <si>
    <t>Gas_OCGT</t>
  </si>
  <si>
    <t>Gas_CCGT</t>
  </si>
  <si>
    <t>Source: Transparency Platform ENTSO-E (2024) + TGS (interactive map used for offshore nodes)+DUKES 5.12.C (for Great Brit.)+IRENA Floating_offshore_wind_outlook_2024</t>
  </si>
  <si>
    <t>IRENA Floating_offshore_wind_outlook_2024</t>
  </si>
  <si>
    <t>Source: PRIMES 2018 + Only for "Oil" Generator_technology_data_for_el_and_dh - 0017_1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</si>
</sst>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"/>
  </numFmts>
  <fonts count="1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(Body)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3" borderId="0" xfId="0" applyFill="1"/>
    <xf numFmtId="0" fontId="1" fillId="0" borderId="0" xfId="0" applyFont="1"/>
    <xf numFmtId="0" fontId="7" fillId="0" borderId="0" xfId="0" applyFont="1" applyAlignment="1">
      <alignment vertical="center" wrapText="1" readingOrder="1"/>
    </xf>
    <xf numFmtId="1" fontId="0" fillId="0" borderId="0" xfId="0" applyNumberFormat="1"/>
    <xf numFmtId="0" fontId="0" fillId="0" borderId="1" xfId="0" applyBorder="1"/>
    <xf numFmtId="0" fontId="0" fillId="17" borderId="0" xfId="0" applyFill="1"/>
    <xf numFmtId="0" fontId="1" fillId="17" borderId="0" xfId="0" applyFont="1" applyFill="1"/>
    <xf numFmtId="165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1" fillId="6" borderId="0" xfId="0" applyNumberFormat="1" applyFont="1" applyFill="1"/>
    <xf numFmtId="3" fontId="0" fillId="0" borderId="0" xfId="0" applyNumberFormat="1"/>
    <xf numFmtId="3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3" fontId="1" fillId="4" borderId="0" xfId="0" applyNumberFormat="1" applyFont="1" applyFill="1"/>
    <xf numFmtId="3" fontId="0" fillId="11" borderId="0" xfId="0" applyNumberFormat="1" applyFill="1"/>
    <xf numFmtId="3" fontId="0" fillId="12" borderId="0" xfId="0" applyNumberFormat="1" applyFill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2" borderId="0" xfId="0" applyFill="1"/>
    <xf numFmtId="0" fontId="0" fillId="6" borderId="0" xfId="0" applyFill="1"/>
    <xf numFmtId="0" fontId="0" fillId="13" borderId="0" xfId="0" applyFill="1"/>
    <xf numFmtId="0" fontId="0" fillId="7" borderId="0" xfId="0" applyFill="1"/>
    <xf numFmtId="0" fontId="0" fillId="14" borderId="0" xfId="0" applyFill="1"/>
    <xf numFmtId="3" fontId="0" fillId="14" borderId="0" xfId="0" applyNumberFormat="1" applyFill="1"/>
    <xf numFmtId="0" fontId="0" fillId="16" borderId="0" xfId="0" applyFill="1"/>
    <xf numFmtId="0" fontId="0" fillId="15" borderId="0" xfId="0" applyFill="1"/>
    <xf numFmtId="3" fontId="0" fillId="15" borderId="0" xfId="0" applyNumberFormat="1" applyFill="1"/>
    <xf numFmtId="3" fontId="0" fillId="15" borderId="0" xfId="0" applyNumberFormat="1" applyFill="1" applyAlignment="1">
      <alignment horizontal="right"/>
    </xf>
    <xf numFmtId="0" fontId="0" fillId="0" borderId="0" xfId="0" applyFill="1"/>
    <xf numFmtId="0" fontId="0" fillId="17" borderId="0" xfId="0" applyFont="1" applyFill="1"/>
    <xf numFmtId="0" fontId="10" fillId="0" borderId="0" xfId="4" applyFill="1"/>
  </cellXfs>
  <cellStyles count="5">
    <cellStyle name="Comma 2" xfId="3" xr:uid="{00000000-0005-0000-0000-000000000000}"/>
    <cellStyle name="Hyperlink" xfId="4" builtinId="8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na.org/-/media/Files/IRENA/Agency/Publication/2024/Jul/IRENA_G7_Floating_offshore_wind_outlook_2024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143"/>
  <sheetViews>
    <sheetView tabSelected="1" workbookViewId="0">
      <selection activeCell="C26" sqref="C26"/>
    </sheetView>
  </sheetViews>
  <sheetFormatPr defaultColWidth="10.81640625" defaultRowHeight="14.5"/>
  <cols>
    <col min="1" max="1" width="30.1796875" customWidth="1"/>
    <col min="2" max="2" width="6.81640625" bestFit="1" customWidth="1"/>
    <col min="3" max="3" width="30.453125" bestFit="1" customWidth="1"/>
  </cols>
  <sheetData>
    <row r="1" spans="1:3">
      <c r="A1" t="s">
        <v>151</v>
      </c>
    </row>
    <row r="2" spans="1:3">
      <c r="A2" t="s">
        <v>1</v>
      </c>
    </row>
    <row r="3" spans="1:3">
      <c r="A3" t="s">
        <v>2</v>
      </c>
      <c r="B3" s="1" t="s">
        <v>3</v>
      </c>
      <c r="C3" t="s">
        <v>4</v>
      </c>
    </row>
    <row r="4" spans="1:3">
      <c r="A4" t="s">
        <v>5</v>
      </c>
      <c r="B4">
        <v>1</v>
      </c>
      <c r="C4">
        <v>1800</v>
      </c>
    </row>
    <row r="5" spans="1:3">
      <c r="A5" t="s">
        <v>138</v>
      </c>
      <c r="B5">
        <v>1</v>
      </c>
      <c r="C5">
        <v>2600</v>
      </c>
    </row>
    <row r="6" spans="1:3">
      <c r="A6" t="s">
        <v>6</v>
      </c>
      <c r="B6">
        <v>1</v>
      </c>
      <c r="C6">
        <v>1600</v>
      </c>
    </row>
    <row r="7" spans="1:3">
      <c r="A7" t="s">
        <v>7</v>
      </c>
      <c r="B7">
        <v>1</v>
      </c>
      <c r="C7">
        <v>3550</v>
      </c>
    </row>
    <row r="8" spans="1:3">
      <c r="A8" t="s">
        <v>8</v>
      </c>
      <c r="B8">
        <v>1</v>
      </c>
      <c r="C8">
        <v>400</v>
      </c>
    </row>
    <row r="9" spans="1:3">
      <c r="A9" t="s">
        <v>9</v>
      </c>
      <c r="B9">
        <v>1</v>
      </c>
      <c r="C9">
        <v>720</v>
      </c>
    </row>
    <row r="10" spans="1:3">
      <c r="A10" t="s">
        <v>10</v>
      </c>
      <c r="B10">
        <v>1</v>
      </c>
      <c r="C10">
        <v>1750</v>
      </c>
    </row>
    <row r="11" spans="1:3">
      <c r="A11" t="s">
        <v>137</v>
      </c>
      <c r="B11">
        <v>1</v>
      </c>
      <c r="C11">
        <v>2600</v>
      </c>
    </row>
    <row r="12" spans="1:3">
      <c r="A12" t="s">
        <v>11</v>
      </c>
      <c r="B12">
        <v>1</v>
      </c>
      <c r="C12">
        <v>6000</v>
      </c>
    </row>
    <row r="13" spans="1:3">
      <c r="A13" t="s">
        <v>12</v>
      </c>
      <c r="B13">
        <v>1</v>
      </c>
      <c r="C13">
        <v>6100</v>
      </c>
    </row>
    <row r="14" spans="1:3">
      <c r="A14" t="s">
        <v>13</v>
      </c>
      <c r="B14">
        <v>1</v>
      </c>
      <c r="C14">
        <v>4970</v>
      </c>
    </row>
    <row r="15" spans="1:3">
      <c r="A15" t="s">
        <v>14</v>
      </c>
      <c r="B15">
        <v>1</v>
      </c>
      <c r="C15">
        <v>3000</v>
      </c>
    </row>
    <row r="16" spans="1:3">
      <c r="A16" t="s">
        <v>15</v>
      </c>
      <c r="B16">
        <v>1</v>
      </c>
      <c r="C16">
        <v>2450</v>
      </c>
    </row>
    <row r="17" spans="1:3">
      <c r="A17" t="s">
        <v>16</v>
      </c>
      <c r="B17">
        <v>1</v>
      </c>
      <c r="C17">
        <v>2000</v>
      </c>
    </row>
    <row r="18" spans="1:3">
      <c r="A18" t="s">
        <v>17</v>
      </c>
      <c r="B18">
        <v>1</v>
      </c>
      <c r="C18">
        <v>1295</v>
      </c>
    </row>
    <row r="19" spans="1:3">
      <c r="A19" t="s">
        <v>114</v>
      </c>
      <c r="B19">
        <v>1</v>
      </c>
      <c r="C19">
        <v>2778</v>
      </c>
    </row>
    <row r="20" spans="1:3">
      <c r="A20" t="s">
        <v>18</v>
      </c>
      <c r="B20">
        <v>1</v>
      </c>
      <c r="C20">
        <v>710</v>
      </c>
    </row>
    <row r="21" spans="1:3">
      <c r="A21" t="s">
        <v>5</v>
      </c>
      <c r="B21">
        <v>2</v>
      </c>
      <c r="C21">
        <v>1800</v>
      </c>
    </row>
    <row r="22" spans="1:3">
      <c r="A22" t="s">
        <v>138</v>
      </c>
      <c r="B22">
        <v>2</v>
      </c>
      <c r="C22">
        <v>2530</v>
      </c>
    </row>
    <row r="23" spans="1:3">
      <c r="A23" t="s">
        <v>6</v>
      </c>
      <c r="B23">
        <v>2</v>
      </c>
      <c r="C23">
        <v>1600</v>
      </c>
    </row>
    <row r="24" spans="1:3">
      <c r="A24" t="s">
        <v>7</v>
      </c>
      <c r="B24">
        <v>2</v>
      </c>
      <c r="C24">
        <v>3350</v>
      </c>
    </row>
    <row r="25" spans="1:3">
      <c r="A25" t="s">
        <v>8</v>
      </c>
      <c r="B25">
        <v>2</v>
      </c>
      <c r="C25" s="11">
        <v>400</v>
      </c>
    </row>
    <row r="26" spans="1:3">
      <c r="A26" t="s">
        <v>9</v>
      </c>
      <c r="B26">
        <v>2</v>
      </c>
      <c r="C26">
        <v>690</v>
      </c>
    </row>
    <row r="27" spans="1:3">
      <c r="A27" t="s">
        <v>10</v>
      </c>
      <c r="B27">
        <v>2</v>
      </c>
      <c r="C27">
        <v>1625</v>
      </c>
    </row>
    <row r="28" spans="1:3">
      <c r="A28" t="s">
        <v>137</v>
      </c>
      <c r="B28">
        <v>2</v>
      </c>
      <c r="C28">
        <v>2530</v>
      </c>
    </row>
    <row r="29" spans="1:3">
      <c r="A29" t="s">
        <v>11</v>
      </c>
      <c r="B29">
        <v>2</v>
      </c>
      <c r="C29">
        <v>6000</v>
      </c>
    </row>
    <row r="30" spans="1:3">
      <c r="A30" t="s">
        <v>12</v>
      </c>
      <c r="B30">
        <v>2</v>
      </c>
      <c r="C30">
        <v>3100</v>
      </c>
    </row>
    <row r="31" spans="1:3">
      <c r="A31" t="s">
        <v>13</v>
      </c>
      <c r="B31">
        <v>2</v>
      </c>
      <c r="C31">
        <v>4586</v>
      </c>
    </row>
    <row r="32" spans="1:3">
      <c r="A32" t="s">
        <v>14</v>
      </c>
      <c r="B32">
        <v>2</v>
      </c>
      <c r="C32">
        <v>3000</v>
      </c>
    </row>
    <row r="33" spans="1:3">
      <c r="A33" t="s">
        <v>15</v>
      </c>
      <c r="B33">
        <v>2</v>
      </c>
      <c r="C33">
        <v>2400</v>
      </c>
    </row>
    <row r="34" spans="1:3">
      <c r="A34" t="s">
        <v>16</v>
      </c>
      <c r="B34">
        <v>2</v>
      </c>
      <c r="C34">
        <v>1800</v>
      </c>
    </row>
    <row r="35" spans="1:3">
      <c r="A35" t="s">
        <v>17</v>
      </c>
      <c r="B35">
        <v>2</v>
      </c>
      <c r="C35">
        <v>1161</v>
      </c>
    </row>
    <row r="36" spans="1:3">
      <c r="A36" t="s">
        <v>114</v>
      </c>
      <c r="B36">
        <v>2</v>
      </c>
      <c r="C36">
        <v>2048</v>
      </c>
    </row>
    <row r="37" spans="1:3">
      <c r="A37" t="s">
        <v>18</v>
      </c>
      <c r="B37">
        <v>2</v>
      </c>
      <c r="C37">
        <v>663</v>
      </c>
    </row>
    <row r="38" spans="1:3">
      <c r="A38" t="s">
        <v>5</v>
      </c>
      <c r="B38">
        <v>3</v>
      </c>
      <c r="C38">
        <v>1800</v>
      </c>
    </row>
    <row r="39" spans="1:3">
      <c r="A39" t="s">
        <v>138</v>
      </c>
      <c r="B39">
        <v>3</v>
      </c>
      <c r="C39">
        <v>2470</v>
      </c>
    </row>
    <row r="40" spans="1:3">
      <c r="A40" t="s">
        <v>6</v>
      </c>
      <c r="B40">
        <v>3</v>
      </c>
      <c r="C40">
        <v>1600</v>
      </c>
    </row>
    <row r="41" spans="1:3">
      <c r="A41" t="s">
        <v>7</v>
      </c>
      <c r="B41">
        <v>3</v>
      </c>
      <c r="C41">
        <v>3350</v>
      </c>
    </row>
    <row r="42" spans="1:3">
      <c r="A42" t="s">
        <v>8</v>
      </c>
      <c r="B42">
        <v>3</v>
      </c>
      <c r="C42" s="11">
        <v>400</v>
      </c>
    </row>
    <row r="43" spans="1:3">
      <c r="A43" t="s">
        <v>9</v>
      </c>
      <c r="B43">
        <v>3</v>
      </c>
      <c r="C43">
        <v>690</v>
      </c>
    </row>
    <row r="44" spans="1:3">
      <c r="A44" t="s">
        <v>10</v>
      </c>
      <c r="B44">
        <v>3</v>
      </c>
      <c r="C44">
        <v>1625</v>
      </c>
    </row>
    <row r="45" spans="1:3">
      <c r="A45" t="s">
        <v>137</v>
      </c>
      <c r="B45">
        <v>3</v>
      </c>
      <c r="C45">
        <v>2470</v>
      </c>
    </row>
    <row r="46" spans="1:3">
      <c r="A46" t="s">
        <v>11</v>
      </c>
      <c r="B46">
        <v>3</v>
      </c>
      <c r="C46">
        <v>6000</v>
      </c>
    </row>
    <row r="47" spans="1:3">
      <c r="A47" t="s">
        <v>12</v>
      </c>
      <c r="B47">
        <v>3</v>
      </c>
      <c r="C47">
        <v>3100</v>
      </c>
    </row>
    <row r="48" spans="1:3">
      <c r="A48" t="s">
        <v>13</v>
      </c>
      <c r="B48">
        <v>3</v>
      </c>
      <c r="C48">
        <v>4586</v>
      </c>
    </row>
    <row r="49" spans="1:3">
      <c r="A49" t="s">
        <v>14</v>
      </c>
      <c r="B49">
        <v>3</v>
      </c>
      <c r="C49">
        <v>3000</v>
      </c>
    </row>
    <row r="50" spans="1:3">
      <c r="A50" t="s">
        <v>15</v>
      </c>
      <c r="B50">
        <v>3</v>
      </c>
      <c r="C50">
        <v>2400</v>
      </c>
    </row>
    <row r="51" spans="1:3">
      <c r="A51" t="s">
        <v>16</v>
      </c>
      <c r="B51">
        <v>3</v>
      </c>
      <c r="C51">
        <v>1800</v>
      </c>
    </row>
    <row r="52" spans="1:3">
      <c r="A52" t="s">
        <v>17</v>
      </c>
      <c r="B52">
        <v>3</v>
      </c>
      <c r="C52">
        <v>1161</v>
      </c>
    </row>
    <row r="53" spans="1:3">
      <c r="A53" t="s">
        <v>114</v>
      </c>
      <c r="B53">
        <v>3</v>
      </c>
      <c r="C53">
        <v>2048</v>
      </c>
    </row>
    <row r="54" spans="1:3">
      <c r="A54" t="s">
        <v>18</v>
      </c>
      <c r="B54">
        <v>3</v>
      </c>
      <c r="C54">
        <v>663</v>
      </c>
    </row>
    <row r="55" spans="1:3">
      <c r="A55" t="s">
        <v>5</v>
      </c>
      <c r="B55">
        <v>4</v>
      </c>
      <c r="C55">
        <v>1800</v>
      </c>
    </row>
    <row r="56" spans="1:3">
      <c r="A56" t="s">
        <v>138</v>
      </c>
      <c r="B56">
        <v>4</v>
      </c>
      <c r="C56">
        <v>2400</v>
      </c>
    </row>
    <row r="57" spans="1:3">
      <c r="A57" t="s">
        <v>6</v>
      </c>
      <c r="B57">
        <v>4</v>
      </c>
      <c r="C57">
        <v>1600</v>
      </c>
    </row>
    <row r="58" spans="1:3">
      <c r="A58" t="s">
        <v>7</v>
      </c>
      <c r="B58">
        <v>4</v>
      </c>
      <c r="C58">
        <v>3250</v>
      </c>
    </row>
    <row r="59" spans="1:3">
      <c r="A59" t="s">
        <v>8</v>
      </c>
      <c r="B59">
        <v>4</v>
      </c>
      <c r="C59" s="11">
        <v>400</v>
      </c>
    </row>
    <row r="60" spans="1:3">
      <c r="A60" t="s">
        <v>9</v>
      </c>
      <c r="B60">
        <v>4</v>
      </c>
      <c r="C60">
        <v>660</v>
      </c>
    </row>
    <row r="61" spans="1:3">
      <c r="A61" t="s">
        <v>10</v>
      </c>
      <c r="B61">
        <v>4</v>
      </c>
      <c r="C61">
        <v>1500</v>
      </c>
    </row>
    <row r="62" spans="1:3">
      <c r="A62" t="s">
        <v>137</v>
      </c>
      <c r="B62">
        <v>4</v>
      </c>
      <c r="C62">
        <v>2400</v>
      </c>
    </row>
    <row r="63" spans="1:3">
      <c r="A63" t="s">
        <v>11</v>
      </c>
      <c r="B63">
        <v>4</v>
      </c>
      <c r="C63">
        <v>6000</v>
      </c>
    </row>
    <row r="64" spans="1:3">
      <c r="A64" t="s">
        <v>12</v>
      </c>
      <c r="B64">
        <v>4</v>
      </c>
      <c r="C64">
        <v>2025</v>
      </c>
    </row>
    <row r="65" spans="1:3">
      <c r="A65" t="s">
        <v>13</v>
      </c>
      <c r="B65">
        <v>4</v>
      </c>
      <c r="C65">
        <v>3749</v>
      </c>
    </row>
    <row r="66" spans="1:3">
      <c r="A66" t="s">
        <v>14</v>
      </c>
      <c r="B66">
        <v>4</v>
      </c>
      <c r="C66">
        <v>3000</v>
      </c>
    </row>
    <row r="67" spans="1:3">
      <c r="A67" t="s">
        <v>15</v>
      </c>
      <c r="B67">
        <v>4</v>
      </c>
      <c r="C67">
        <v>2350</v>
      </c>
    </row>
    <row r="68" spans="1:3">
      <c r="A68" t="s">
        <v>16</v>
      </c>
      <c r="B68">
        <v>4</v>
      </c>
      <c r="C68">
        <v>1700</v>
      </c>
    </row>
    <row r="69" spans="1:3">
      <c r="A69" t="s">
        <v>17</v>
      </c>
      <c r="B69">
        <v>4</v>
      </c>
      <c r="C69">
        <v>1010</v>
      </c>
    </row>
    <row r="70" spans="1:3">
      <c r="A70" t="s">
        <v>114</v>
      </c>
      <c r="B70">
        <v>4</v>
      </c>
      <c r="C70">
        <v>1929</v>
      </c>
    </row>
    <row r="71" spans="1:3">
      <c r="A71" t="s">
        <v>18</v>
      </c>
      <c r="B71">
        <v>4</v>
      </c>
      <c r="C71">
        <v>519</v>
      </c>
    </row>
    <row r="72" spans="1:3">
      <c r="A72" t="s">
        <v>5</v>
      </c>
      <c r="B72">
        <v>5</v>
      </c>
      <c r="C72">
        <v>1800</v>
      </c>
    </row>
    <row r="73" spans="1:3">
      <c r="A73" t="s">
        <v>138</v>
      </c>
      <c r="B73">
        <v>5</v>
      </c>
      <c r="C73">
        <v>2330</v>
      </c>
    </row>
    <row r="74" spans="1:3">
      <c r="A74" t="s">
        <v>6</v>
      </c>
      <c r="B74">
        <v>5</v>
      </c>
      <c r="C74">
        <v>1600</v>
      </c>
    </row>
    <row r="75" spans="1:3">
      <c r="A75" t="s">
        <v>7</v>
      </c>
      <c r="B75">
        <v>5</v>
      </c>
      <c r="C75">
        <v>3250</v>
      </c>
    </row>
    <row r="76" spans="1:3">
      <c r="A76" t="s">
        <v>8</v>
      </c>
      <c r="B76">
        <v>5</v>
      </c>
      <c r="C76" s="11">
        <v>400</v>
      </c>
    </row>
    <row r="77" spans="1:3">
      <c r="A77" t="s">
        <v>9</v>
      </c>
      <c r="B77">
        <v>5</v>
      </c>
      <c r="C77">
        <v>660</v>
      </c>
    </row>
    <row r="78" spans="1:3">
      <c r="A78" t="s">
        <v>10</v>
      </c>
      <c r="B78">
        <v>5</v>
      </c>
      <c r="C78">
        <v>1500</v>
      </c>
    </row>
    <row r="79" spans="1:3">
      <c r="A79" t="s">
        <v>137</v>
      </c>
      <c r="B79">
        <v>5</v>
      </c>
      <c r="C79">
        <v>2330</v>
      </c>
    </row>
    <row r="80" spans="1:3">
      <c r="A80" t="s">
        <v>11</v>
      </c>
      <c r="B80">
        <v>5</v>
      </c>
      <c r="C80">
        <v>6000</v>
      </c>
    </row>
    <row r="81" spans="1:3">
      <c r="A81" t="s">
        <v>12</v>
      </c>
      <c r="B81">
        <v>5</v>
      </c>
      <c r="C81">
        <v>2025</v>
      </c>
    </row>
    <row r="82" spans="1:3">
      <c r="A82" t="s">
        <v>13</v>
      </c>
      <c r="B82">
        <v>5</v>
      </c>
      <c r="C82">
        <v>3749</v>
      </c>
    </row>
    <row r="83" spans="1:3">
      <c r="A83" t="s">
        <v>14</v>
      </c>
      <c r="B83">
        <v>5</v>
      </c>
      <c r="C83">
        <v>3000</v>
      </c>
    </row>
    <row r="84" spans="1:3">
      <c r="A84" t="s">
        <v>15</v>
      </c>
      <c r="B84">
        <v>5</v>
      </c>
      <c r="C84">
        <v>2350</v>
      </c>
    </row>
    <row r="85" spans="1:3">
      <c r="A85" t="s">
        <v>16</v>
      </c>
      <c r="B85">
        <v>5</v>
      </c>
      <c r="C85">
        <v>1700</v>
      </c>
    </row>
    <row r="86" spans="1:3">
      <c r="A86" t="s">
        <v>17</v>
      </c>
      <c r="B86">
        <v>5</v>
      </c>
      <c r="C86">
        <v>1010</v>
      </c>
    </row>
    <row r="87" spans="1:3">
      <c r="A87" t="s">
        <v>114</v>
      </c>
      <c r="B87">
        <v>5</v>
      </c>
      <c r="C87">
        <v>1929</v>
      </c>
    </row>
    <row r="88" spans="1:3">
      <c r="A88" t="s">
        <v>18</v>
      </c>
      <c r="B88">
        <v>5</v>
      </c>
      <c r="C88">
        <v>519</v>
      </c>
    </row>
    <row r="89" spans="1:3">
      <c r="A89" t="s">
        <v>5</v>
      </c>
      <c r="B89">
        <v>6</v>
      </c>
      <c r="C89">
        <v>1800</v>
      </c>
    </row>
    <row r="90" spans="1:3">
      <c r="A90" t="s">
        <v>138</v>
      </c>
      <c r="B90">
        <v>6</v>
      </c>
      <c r="C90">
        <v>2250</v>
      </c>
    </row>
    <row r="91" spans="1:3">
      <c r="A91" t="s">
        <v>6</v>
      </c>
      <c r="B91">
        <v>6</v>
      </c>
      <c r="C91">
        <v>1600</v>
      </c>
    </row>
    <row r="92" spans="1:3">
      <c r="A92" t="s">
        <v>7</v>
      </c>
      <c r="B92">
        <v>6</v>
      </c>
      <c r="C92">
        <v>3150</v>
      </c>
    </row>
    <row r="93" spans="1:3">
      <c r="A93" t="s">
        <v>8</v>
      </c>
      <c r="B93">
        <v>6</v>
      </c>
      <c r="C93" s="11">
        <v>400</v>
      </c>
    </row>
    <row r="94" spans="1:3">
      <c r="A94" t="s">
        <v>9</v>
      </c>
      <c r="B94">
        <v>6</v>
      </c>
      <c r="C94">
        <v>640</v>
      </c>
    </row>
    <row r="95" spans="1:3">
      <c r="A95" t="s">
        <v>10</v>
      </c>
      <c r="B95">
        <v>6</v>
      </c>
      <c r="C95">
        <v>1500</v>
      </c>
    </row>
    <row r="96" spans="1:3">
      <c r="A96" t="s">
        <v>137</v>
      </c>
      <c r="B96">
        <v>6</v>
      </c>
      <c r="C96">
        <v>2250</v>
      </c>
    </row>
    <row r="97" spans="1:3">
      <c r="A97" t="s">
        <v>11</v>
      </c>
      <c r="B97">
        <v>6</v>
      </c>
      <c r="C97">
        <v>6000</v>
      </c>
    </row>
    <row r="98" spans="1:3">
      <c r="A98" t="s">
        <v>12</v>
      </c>
      <c r="B98">
        <v>6</v>
      </c>
      <c r="C98">
        <v>1975</v>
      </c>
    </row>
    <row r="99" spans="1:3">
      <c r="A99" t="s">
        <v>13</v>
      </c>
      <c r="B99">
        <v>6</v>
      </c>
      <c r="C99">
        <v>3306</v>
      </c>
    </row>
    <row r="100" spans="1:3">
      <c r="A100" t="s">
        <v>14</v>
      </c>
      <c r="B100">
        <v>6</v>
      </c>
      <c r="C100">
        <v>3000</v>
      </c>
    </row>
    <row r="101" spans="1:3">
      <c r="A101" t="s">
        <v>15</v>
      </c>
      <c r="B101">
        <v>6</v>
      </c>
      <c r="C101">
        <v>2300</v>
      </c>
    </row>
    <row r="102" spans="1:3">
      <c r="A102" t="s">
        <v>16</v>
      </c>
      <c r="B102">
        <v>6</v>
      </c>
      <c r="C102">
        <v>1700</v>
      </c>
    </row>
    <row r="103" spans="1:3">
      <c r="A103" t="s">
        <v>17</v>
      </c>
      <c r="B103">
        <v>6</v>
      </c>
      <c r="C103">
        <v>943</v>
      </c>
    </row>
    <row r="104" spans="1:3">
      <c r="A104" t="s">
        <v>114</v>
      </c>
      <c r="B104">
        <v>6</v>
      </c>
      <c r="C104">
        <v>1891</v>
      </c>
    </row>
    <row r="105" spans="1:3">
      <c r="A105" t="s">
        <v>18</v>
      </c>
      <c r="B105">
        <v>6</v>
      </c>
      <c r="C105">
        <v>454</v>
      </c>
    </row>
    <row r="106" spans="1:3">
      <c r="A106" t="s">
        <v>5</v>
      </c>
      <c r="B106">
        <v>7</v>
      </c>
      <c r="C106">
        <v>1800</v>
      </c>
    </row>
    <row r="107" spans="1:3">
      <c r="A107" t="s">
        <v>138</v>
      </c>
      <c r="B107">
        <v>7</v>
      </c>
      <c r="C107">
        <v>2600</v>
      </c>
    </row>
    <row r="108" spans="1:3">
      <c r="A108" t="s">
        <v>6</v>
      </c>
      <c r="B108">
        <v>7</v>
      </c>
      <c r="C108">
        <v>1600</v>
      </c>
    </row>
    <row r="109" spans="1:3">
      <c r="A109" t="s">
        <v>7</v>
      </c>
      <c r="B109">
        <v>7</v>
      </c>
      <c r="C109">
        <v>3150</v>
      </c>
    </row>
    <row r="110" spans="1:3">
      <c r="A110" t="s">
        <v>8</v>
      </c>
      <c r="B110">
        <v>7</v>
      </c>
      <c r="C110" s="11">
        <v>400</v>
      </c>
    </row>
    <row r="111" spans="1:3">
      <c r="A111" t="s">
        <v>9</v>
      </c>
      <c r="B111">
        <v>7</v>
      </c>
      <c r="C111">
        <v>640</v>
      </c>
    </row>
    <row r="112" spans="1:3">
      <c r="A112" t="s">
        <v>10</v>
      </c>
      <c r="B112">
        <v>7</v>
      </c>
      <c r="C112">
        <v>1500</v>
      </c>
    </row>
    <row r="113" spans="1:3">
      <c r="A113" t="s">
        <v>137</v>
      </c>
      <c r="B113">
        <v>7</v>
      </c>
      <c r="C113">
        <v>2600</v>
      </c>
    </row>
    <row r="114" spans="1:3">
      <c r="A114" t="s">
        <v>11</v>
      </c>
      <c r="B114">
        <v>7</v>
      </c>
      <c r="C114">
        <v>6000</v>
      </c>
    </row>
    <row r="115" spans="1:3">
      <c r="A115" t="s">
        <v>12</v>
      </c>
      <c r="B115">
        <v>7</v>
      </c>
      <c r="C115">
        <v>1975</v>
      </c>
    </row>
    <row r="116" spans="1:3">
      <c r="A116" t="s">
        <v>13</v>
      </c>
      <c r="B116">
        <v>7</v>
      </c>
      <c r="C116">
        <v>3306</v>
      </c>
    </row>
    <row r="117" spans="1:3">
      <c r="A117" t="s">
        <v>14</v>
      </c>
      <c r="B117">
        <v>7</v>
      </c>
      <c r="C117">
        <v>3000</v>
      </c>
    </row>
    <row r="118" spans="1:3">
      <c r="A118" t="s">
        <v>15</v>
      </c>
      <c r="B118">
        <v>7</v>
      </c>
      <c r="C118">
        <v>2300</v>
      </c>
    </row>
    <row r="119" spans="1:3">
      <c r="A119" t="s">
        <v>16</v>
      </c>
      <c r="B119">
        <v>7</v>
      </c>
      <c r="C119">
        <v>1700</v>
      </c>
    </row>
    <row r="120" spans="1:3">
      <c r="A120" t="s">
        <v>17</v>
      </c>
      <c r="B120">
        <v>7</v>
      </c>
      <c r="C120">
        <v>943</v>
      </c>
    </row>
    <row r="121" spans="1:3">
      <c r="A121" t="s">
        <v>114</v>
      </c>
      <c r="B121">
        <v>7</v>
      </c>
      <c r="C121">
        <v>1891</v>
      </c>
    </row>
    <row r="122" spans="1:3">
      <c r="A122" t="s">
        <v>18</v>
      </c>
      <c r="B122">
        <v>7</v>
      </c>
      <c r="C122">
        <v>454</v>
      </c>
    </row>
    <row r="123" spans="1:3">
      <c r="A123" t="s">
        <v>19</v>
      </c>
      <c r="B123">
        <v>1</v>
      </c>
      <c r="C123">
        <v>2030</v>
      </c>
    </row>
    <row r="124" spans="1:3">
      <c r="A124" t="s">
        <v>19</v>
      </c>
      <c r="B124">
        <v>2</v>
      </c>
      <c r="C124">
        <v>2013</v>
      </c>
    </row>
    <row r="125" spans="1:3">
      <c r="A125" t="s">
        <v>19</v>
      </c>
      <c r="B125">
        <v>3</v>
      </c>
      <c r="C125">
        <v>2013</v>
      </c>
    </row>
    <row r="126" spans="1:3">
      <c r="A126" t="s">
        <v>19</v>
      </c>
      <c r="B126">
        <v>4</v>
      </c>
      <c r="C126">
        <v>2005</v>
      </c>
    </row>
    <row r="127" spans="1:3">
      <c r="A127" t="s">
        <v>19</v>
      </c>
      <c r="B127">
        <v>5</v>
      </c>
      <c r="C127">
        <v>2005</v>
      </c>
    </row>
    <row r="128" spans="1:3">
      <c r="A128" t="s">
        <v>19</v>
      </c>
      <c r="B128">
        <v>6</v>
      </c>
      <c r="C128">
        <v>1997</v>
      </c>
    </row>
    <row r="129" spans="1:3">
      <c r="A129" t="s">
        <v>19</v>
      </c>
      <c r="B129">
        <v>7</v>
      </c>
      <c r="C129">
        <v>1997</v>
      </c>
    </row>
    <row r="130" spans="1:3">
      <c r="A130" t="s">
        <v>115</v>
      </c>
      <c r="B130">
        <v>1</v>
      </c>
      <c r="C130" s="6">
        <v>3472.5</v>
      </c>
    </row>
    <row r="131" spans="1:3">
      <c r="A131" t="s">
        <v>115</v>
      </c>
      <c r="B131">
        <v>2</v>
      </c>
      <c r="C131" s="6">
        <v>2539.52</v>
      </c>
    </row>
    <row r="132" spans="1:3">
      <c r="A132" t="s">
        <v>115</v>
      </c>
      <c r="B132">
        <v>3</v>
      </c>
      <c r="C132" s="6">
        <v>2503.1111111111113</v>
      </c>
    </row>
    <row r="133" spans="1:3">
      <c r="A133" t="s">
        <v>115</v>
      </c>
      <c r="B133">
        <v>4</v>
      </c>
      <c r="C133" s="6">
        <v>2314.7999999999997</v>
      </c>
    </row>
    <row r="134" spans="1:3">
      <c r="A134" t="s">
        <v>115</v>
      </c>
      <c r="B134">
        <v>5</v>
      </c>
      <c r="C134" s="6">
        <v>2284.3421052631579</v>
      </c>
    </row>
    <row r="135" spans="1:3">
      <c r="A135" t="s">
        <v>115</v>
      </c>
      <c r="B135">
        <v>6</v>
      </c>
      <c r="C135" s="6">
        <v>2239.3421052631579</v>
      </c>
    </row>
    <row r="136" spans="1:3">
      <c r="A136" t="s">
        <v>115</v>
      </c>
      <c r="B136">
        <v>7</v>
      </c>
      <c r="C136" s="6">
        <v>2239.3421052631579</v>
      </c>
    </row>
    <row r="137" spans="1:3">
      <c r="A137" t="s">
        <v>101</v>
      </c>
      <c r="B137">
        <v>1</v>
      </c>
      <c r="C137">
        <v>9357.6799179999998</v>
      </c>
    </row>
    <row r="138" spans="1:3">
      <c r="A138" t="s">
        <v>101</v>
      </c>
      <c r="B138">
        <v>2</v>
      </c>
      <c r="C138">
        <v>9357.6799179999998</v>
      </c>
    </row>
    <row r="139" spans="1:3">
      <c r="A139" t="s">
        <v>101</v>
      </c>
      <c r="B139">
        <v>3</v>
      </c>
      <c r="C139">
        <v>9357.6799179999998</v>
      </c>
    </row>
    <row r="140" spans="1:3">
      <c r="A140" t="s">
        <v>101</v>
      </c>
      <c r="B140">
        <v>4</v>
      </c>
      <c r="C140">
        <v>9357.6799179999998</v>
      </c>
    </row>
    <row r="141" spans="1:3">
      <c r="A141" t="s">
        <v>101</v>
      </c>
      <c r="B141">
        <v>5</v>
      </c>
      <c r="C141">
        <v>9357.6799179999998</v>
      </c>
    </row>
    <row r="142" spans="1:3">
      <c r="A142" t="s">
        <v>101</v>
      </c>
      <c r="B142">
        <v>6</v>
      </c>
      <c r="C142">
        <v>9357.6799179999998</v>
      </c>
    </row>
    <row r="143" spans="1:3">
      <c r="A143" t="s">
        <v>101</v>
      </c>
      <c r="B143">
        <v>7</v>
      </c>
      <c r="C143">
        <v>9357.6799179999998</v>
      </c>
    </row>
  </sheetData>
  <autoFilter ref="A3:C143" xr:uid="{B2493410-15EF-47DC-BA96-BE58925E48E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C143"/>
  <sheetViews>
    <sheetView workbookViewId="0">
      <selection activeCell="A2" sqref="A2"/>
    </sheetView>
  </sheetViews>
  <sheetFormatPr defaultColWidth="10.81640625" defaultRowHeight="14.5"/>
  <cols>
    <col min="1" max="1" width="27.36328125" customWidth="1"/>
    <col min="2" max="2" width="5.81640625" bestFit="1" customWidth="1"/>
    <col min="3" max="3" width="30.453125" bestFit="1" customWidth="1"/>
  </cols>
  <sheetData>
    <row r="1" spans="1:3">
      <c r="A1" t="s">
        <v>151</v>
      </c>
    </row>
    <row r="2" spans="1:3">
      <c r="A2" t="s">
        <v>20</v>
      </c>
    </row>
    <row r="3" spans="1:3" ht="29">
      <c r="A3" t="s">
        <v>2</v>
      </c>
      <c r="B3" s="1" t="s">
        <v>3</v>
      </c>
      <c r="C3" t="s">
        <v>4</v>
      </c>
    </row>
    <row r="4" spans="1:3">
      <c r="A4" t="s">
        <v>5</v>
      </c>
      <c r="B4">
        <v>1</v>
      </c>
      <c r="C4">
        <v>32.5</v>
      </c>
    </row>
    <row r="5" spans="1:3">
      <c r="A5" t="s">
        <v>139</v>
      </c>
      <c r="B5">
        <v>1</v>
      </c>
      <c r="C5">
        <v>51.37</v>
      </c>
    </row>
    <row r="6" spans="1:3">
      <c r="A6" t="s">
        <v>6</v>
      </c>
      <c r="B6">
        <v>1</v>
      </c>
      <c r="C6">
        <v>25.6</v>
      </c>
    </row>
    <row r="7" spans="1:3">
      <c r="A7" t="s">
        <v>7</v>
      </c>
      <c r="B7">
        <v>1</v>
      </c>
      <c r="C7">
        <v>69.8</v>
      </c>
    </row>
    <row r="8" spans="1:3">
      <c r="A8" t="s">
        <v>8</v>
      </c>
      <c r="B8">
        <v>1</v>
      </c>
      <c r="C8">
        <v>19.5</v>
      </c>
    </row>
    <row r="9" spans="1:3">
      <c r="A9" t="s">
        <v>9</v>
      </c>
      <c r="B9">
        <v>1</v>
      </c>
      <c r="C9">
        <v>15</v>
      </c>
    </row>
    <row r="10" spans="1:3">
      <c r="A10" t="s">
        <v>10</v>
      </c>
      <c r="B10">
        <v>1</v>
      </c>
      <c r="C10">
        <v>41</v>
      </c>
    </row>
    <row r="11" spans="1:3">
      <c r="A11" t="s">
        <v>137</v>
      </c>
      <c r="B11">
        <v>1</v>
      </c>
      <c r="C11">
        <v>51.37</v>
      </c>
    </row>
    <row r="12" spans="1:3">
      <c r="A12" t="s">
        <v>11</v>
      </c>
      <c r="B12">
        <v>1</v>
      </c>
      <c r="C12">
        <v>120</v>
      </c>
    </row>
    <row r="13" spans="1:3">
      <c r="A13" t="s">
        <v>12</v>
      </c>
      <c r="B13">
        <v>1</v>
      </c>
      <c r="C13">
        <v>39.6</v>
      </c>
    </row>
    <row r="14" spans="1:3">
      <c r="A14" t="s">
        <v>13</v>
      </c>
      <c r="B14">
        <v>1</v>
      </c>
      <c r="C14">
        <v>95</v>
      </c>
    </row>
    <row r="15" spans="1:3">
      <c r="A15" t="s">
        <v>14</v>
      </c>
      <c r="B15">
        <v>1</v>
      </c>
      <c r="C15">
        <v>25.5</v>
      </c>
    </row>
    <row r="16" spans="1:3">
      <c r="A16" t="s">
        <v>15</v>
      </c>
      <c r="B16">
        <v>1</v>
      </c>
      <c r="C16">
        <v>8.9</v>
      </c>
    </row>
    <row r="17" spans="1:3">
      <c r="A17" t="s">
        <v>16</v>
      </c>
      <c r="B17">
        <v>1</v>
      </c>
      <c r="C17">
        <v>47.5</v>
      </c>
    </row>
    <row r="18" spans="1:3">
      <c r="A18" t="s">
        <v>17</v>
      </c>
      <c r="B18">
        <v>1</v>
      </c>
      <c r="C18">
        <v>14</v>
      </c>
    </row>
    <row r="19" spans="1:3">
      <c r="A19" t="s">
        <v>114</v>
      </c>
      <c r="B19">
        <v>1</v>
      </c>
      <c r="C19">
        <v>42</v>
      </c>
    </row>
    <row r="20" spans="1:3">
      <c r="A20" t="s">
        <v>18</v>
      </c>
      <c r="B20">
        <v>1</v>
      </c>
      <c r="C20">
        <v>12.6</v>
      </c>
    </row>
    <row r="21" spans="1:3">
      <c r="A21" t="s">
        <v>5</v>
      </c>
      <c r="B21">
        <v>2</v>
      </c>
      <c r="C21">
        <v>32.5</v>
      </c>
    </row>
    <row r="22" spans="1:3">
      <c r="A22" t="s">
        <v>139</v>
      </c>
      <c r="B22">
        <v>2</v>
      </c>
      <c r="C22">
        <v>51.37</v>
      </c>
    </row>
    <row r="23" spans="1:3">
      <c r="A23" t="s">
        <v>6</v>
      </c>
      <c r="B23">
        <v>2</v>
      </c>
      <c r="C23">
        <v>25.6</v>
      </c>
    </row>
    <row r="24" spans="1:3">
      <c r="A24" t="s">
        <v>7</v>
      </c>
      <c r="B24">
        <v>2</v>
      </c>
      <c r="C24">
        <v>65.900000000000006</v>
      </c>
    </row>
    <row r="25" spans="1:3">
      <c r="A25" t="s">
        <v>8</v>
      </c>
      <c r="B25">
        <v>2</v>
      </c>
      <c r="C25">
        <v>19.5</v>
      </c>
    </row>
    <row r="26" spans="1:3">
      <c r="A26" t="s">
        <v>9</v>
      </c>
      <c r="B26">
        <v>2</v>
      </c>
      <c r="C26">
        <v>15</v>
      </c>
    </row>
    <row r="27" spans="1:3">
      <c r="A27" t="s">
        <v>10</v>
      </c>
      <c r="B27">
        <v>2</v>
      </c>
      <c r="C27">
        <v>38.200000000000003</v>
      </c>
    </row>
    <row r="28" spans="1:3">
      <c r="A28" t="s">
        <v>137</v>
      </c>
      <c r="B28">
        <v>2</v>
      </c>
      <c r="C28">
        <v>51.37</v>
      </c>
    </row>
    <row r="29" spans="1:3">
      <c r="A29" t="s">
        <v>11</v>
      </c>
      <c r="B29">
        <v>2</v>
      </c>
      <c r="C29">
        <v>115</v>
      </c>
    </row>
    <row r="30" spans="1:3">
      <c r="A30" t="s">
        <v>12</v>
      </c>
      <c r="B30">
        <v>2</v>
      </c>
      <c r="C30">
        <v>33.299999999999997</v>
      </c>
    </row>
    <row r="31" spans="1:3">
      <c r="A31" t="s">
        <v>13</v>
      </c>
      <c r="B31">
        <v>2</v>
      </c>
      <c r="C31">
        <v>95</v>
      </c>
    </row>
    <row r="32" spans="1:3">
      <c r="A32" t="s">
        <v>14</v>
      </c>
      <c r="B32">
        <v>2</v>
      </c>
      <c r="C32">
        <v>25.5</v>
      </c>
    </row>
    <row r="33" spans="1:3">
      <c r="A33" t="s">
        <v>15</v>
      </c>
      <c r="B33">
        <v>2</v>
      </c>
      <c r="C33">
        <v>8.1999999999999993</v>
      </c>
    </row>
    <row r="34" spans="1:3">
      <c r="A34" t="s">
        <v>16</v>
      </c>
      <c r="B34">
        <v>2</v>
      </c>
      <c r="C34">
        <v>40.1</v>
      </c>
    </row>
    <row r="35" spans="1:3">
      <c r="A35" t="s">
        <v>17</v>
      </c>
      <c r="B35">
        <v>2</v>
      </c>
      <c r="C35">
        <v>14</v>
      </c>
    </row>
    <row r="36" spans="1:3">
      <c r="A36" t="s">
        <v>114</v>
      </c>
      <c r="B36">
        <v>2</v>
      </c>
      <c r="C36">
        <v>31</v>
      </c>
    </row>
    <row r="37" spans="1:3">
      <c r="A37" t="s">
        <v>18</v>
      </c>
      <c r="B37">
        <v>2</v>
      </c>
      <c r="C37">
        <v>10.8</v>
      </c>
    </row>
    <row r="38" spans="1:3">
      <c r="A38" t="s">
        <v>5</v>
      </c>
      <c r="B38">
        <v>3</v>
      </c>
      <c r="C38">
        <v>32.5</v>
      </c>
    </row>
    <row r="39" spans="1:3">
      <c r="A39" t="s">
        <v>139</v>
      </c>
      <c r="B39">
        <v>3</v>
      </c>
      <c r="C39">
        <v>51.37</v>
      </c>
    </row>
    <row r="40" spans="1:3">
      <c r="A40" t="s">
        <v>6</v>
      </c>
      <c r="B40">
        <v>3</v>
      </c>
      <c r="C40">
        <v>25.6</v>
      </c>
    </row>
    <row r="41" spans="1:3">
      <c r="A41" t="s">
        <v>7</v>
      </c>
      <c r="B41">
        <v>3</v>
      </c>
      <c r="C41">
        <v>65.900000000000006</v>
      </c>
    </row>
    <row r="42" spans="1:3">
      <c r="A42" t="s">
        <v>8</v>
      </c>
      <c r="B42">
        <v>3</v>
      </c>
      <c r="C42">
        <v>19.5</v>
      </c>
    </row>
    <row r="43" spans="1:3">
      <c r="A43" t="s">
        <v>9</v>
      </c>
      <c r="B43">
        <v>3</v>
      </c>
      <c r="C43">
        <v>15</v>
      </c>
    </row>
    <row r="44" spans="1:3">
      <c r="A44" t="s">
        <v>10</v>
      </c>
      <c r="B44">
        <v>3</v>
      </c>
      <c r="C44">
        <v>38.200000000000003</v>
      </c>
    </row>
    <row r="45" spans="1:3">
      <c r="A45" t="s">
        <v>137</v>
      </c>
      <c r="B45">
        <v>3</v>
      </c>
      <c r="C45">
        <v>51.37</v>
      </c>
    </row>
    <row r="46" spans="1:3">
      <c r="A46" t="s">
        <v>11</v>
      </c>
      <c r="B46">
        <v>3</v>
      </c>
      <c r="C46">
        <v>115</v>
      </c>
    </row>
    <row r="47" spans="1:3">
      <c r="A47" t="s">
        <v>12</v>
      </c>
      <c r="B47">
        <v>3</v>
      </c>
      <c r="C47">
        <v>33.299999999999997</v>
      </c>
    </row>
    <row r="48" spans="1:3">
      <c r="A48" t="s">
        <v>13</v>
      </c>
      <c r="B48">
        <v>3</v>
      </c>
      <c r="C48">
        <v>95</v>
      </c>
    </row>
    <row r="49" spans="1:3">
      <c r="A49" t="s">
        <v>14</v>
      </c>
      <c r="B49">
        <v>3</v>
      </c>
      <c r="C49">
        <v>25.5</v>
      </c>
    </row>
    <row r="50" spans="1:3">
      <c r="A50" t="s">
        <v>15</v>
      </c>
      <c r="B50">
        <v>3</v>
      </c>
      <c r="C50">
        <v>8.1999999999999993</v>
      </c>
    </row>
    <row r="51" spans="1:3">
      <c r="A51" t="s">
        <v>16</v>
      </c>
      <c r="B51">
        <v>3</v>
      </c>
      <c r="C51">
        <v>40.1</v>
      </c>
    </row>
    <row r="52" spans="1:3">
      <c r="A52" t="s">
        <v>17</v>
      </c>
      <c r="B52">
        <v>3</v>
      </c>
      <c r="C52">
        <v>14</v>
      </c>
    </row>
    <row r="53" spans="1:3">
      <c r="A53" t="s">
        <v>114</v>
      </c>
      <c r="B53">
        <v>3</v>
      </c>
      <c r="C53">
        <v>31</v>
      </c>
    </row>
    <row r="54" spans="1:3">
      <c r="A54" t="s">
        <v>18</v>
      </c>
      <c r="B54">
        <v>3</v>
      </c>
      <c r="C54">
        <v>10.8</v>
      </c>
    </row>
    <row r="55" spans="1:3">
      <c r="A55" t="s">
        <v>5</v>
      </c>
      <c r="B55">
        <v>4</v>
      </c>
      <c r="C55">
        <v>32.5</v>
      </c>
    </row>
    <row r="56" spans="1:3">
      <c r="A56" t="s">
        <v>139</v>
      </c>
      <c r="B56">
        <v>4</v>
      </c>
      <c r="C56">
        <v>50.04</v>
      </c>
    </row>
    <row r="57" spans="1:3">
      <c r="A57" t="s">
        <v>6</v>
      </c>
      <c r="B57">
        <v>4</v>
      </c>
      <c r="C57">
        <v>25.6</v>
      </c>
    </row>
    <row r="58" spans="1:3">
      <c r="A58" t="s">
        <v>7</v>
      </c>
      <c r="B58">
        <v>4</v>
      </c>
      <c r="C58">
        <v>63.9</v>
      </c>
    </row>
    <row r="59" spans="1:3">
      <c r="A59" t="s">
        <v>8</v>
      </c>
      <c r="B59">
        <v>4</v>
      </c>
      <c r="C59">
        <v>19.5</v>
      </c>
    </row>
    <row r="60" spans="1:3">
      <c r="A60" t="s">
        <v>9</v>
      </c>
      <c r="B60">
        <v>4</v>
      </c>
      <c r="C60">
        <v>15</v>
      </c>
    </row>
    <row r="61" spans="1:3">
      <c r="A61" t="s">
        <v>10</v>
      </c>
      <c r="B61">
        <v>4</v>
      </c>
      <c r="C61">
        <v>35</v>
      </c>
    </row>
    <row r="62" spans="1:3">
      <c r="A62" t="s">
        <v>137</v>
      </c>
      <c r="B62">
        <v>4</v>
      </c>
      <c r="C62">
        <v>50.04</v>
      </c>
    </row>
    <row r="63" spans="1:3">
      <c r="A63" t="s">
        <v>11</v>
      </c>
      <c r="B63">
        <v>4</v>
      </c>
      <c r="C63">
        <v>108</v>
      </c>
    </row>
    <row r="64" spans="1:3">
      <c r="A64" t="s">
        <v>12</v>
      </c>
      <c r="B64">
        <v>4</v>
      </c>
      <c r="C64">
        <v>28</v>
      </c>
    </row>
    <row r="65" spans="1:3">
      <c r="A65" t="s">
        <v>13</v>
      </c>
      <c r="B65">
        <v>4</v>
      </c>
      <c r="C65">
        <v>92</v>
      </c>
    </row>
    <row r="66" spans="1:3">
      <c r="A66" t="s">
        <v>14</v>
      </c>
      <c r="B66">
        <v>4</v>
      </c>
      <c r="C66">
        <v>25.5</v>
      </c>
    </row>
    <row r="67" spans="1:3">
      <c r="A67" t="s">
        <v>15</v>
      </c>
      <c r="B67">
        <v>4</v>
      </c>
      <c r="C67">
        <v>8.1999999999999993</v>
      </c>
    </row>
    <row r="68" spans="1:3">
      <c r="A68" t="s">
        <v>16</v>
      </c>
      <c r="B68">
        <v>4</v>
      </c>
      <c r="C68">
        <v>39.200000000000003</v>
      </c>
    </row>
    <row r="69" spans="1:3">
      <c r="A69" t="s">
        <v>17</v>
      </c>
      <c r="B69">
        <v>4</v>
      </c>
      <c r="C69">
        <v>13</v>
      </c>
    </row>
    <row r="70" spans="1:3">
      <c r="A70" t="s">
        <v>114</v>
      </c>
      <c r="B70">
        <v>4</v>
      </c>
      <c r="C70">
        <v>29</v>
      </c>
    </row>
    <row r="71" spans="1:3">
      <c r="A71" t="s">
        <v>18</v>
      </c>
      <c r="B71">
        <v>4</v>
      </c>
      <c r="C71">
        <v>10</v>
      </c>
    </row>
    <row r="72" spans="1:3">
      <c r="A72" t="s">
        <v>5</v>
      </c>
      <c r="B72">
        <v>5</v>
      </c>
      <c r="C72">
        <v>32.5</v>
      </c>
    </row>
    <row r="73" spans="1:3">
      <c r="A73" t="s">
        <v>139</v>
      </c>
      <c r="B73">
        <v>5</v>
      </c>
      <c r="C73">
        <v>48.71</v>
      </c>
    </row>
    <row r="74" spans="1:3">
      <c r="A74" t="s">
        <v>6</v>
      </c>
      <c r="B74">
        <v>5</v>
      </c>
      <c r="C74">
        <v>25.6</v>
      </c>
    </row>
    <row r="75" spans="1:3">
      <c r="A75" t="s">
        <v>7</v>
      </c>
      <c r="B75">
        <v>5</v>
      </c>
      <c r="C75">
        <v>63.9</v>
      </c>
    </row>
    <row r="76" spans="1:3">
      <c r="A76" t="s">
        <v>8</v>
      </c>
      <c r="B76">
        <v>5</v>
      </c>
      <c r="C76">
        <v>19.5</v>
      </c>
    </row>
    <row r="77" spans="1:3">
      <c r="A77" t="s">
        <v>9</v>
      </c>
      <c r="B77">
        <v>5</v>
      </c>
      <c r="C77">
        <v>15</v>
      </c>
    </row>
    <row r="78" spans="1:3">
      <c r="A78" t="s">
        <v>10</v>
      </c>
      <c r="B78">
        <v>5</v>
      </c>
      <c r="C78">
        <v>35</v>
      </c>
    </row>
    <row r="79" spans="1:3">
      <c r="A79" t="s">
        <v>137</v>
      </c>
      <c r="B79">
        <v>5</v>
      </c>
      <c r="C79">
        <v>48.71</v>
      </c>
    </row>
    <row r="80" spans="1:3">
      <c r="A80" t="s">
        <v>11</v>
      </c>
      <c r="B80">
        <v>5</v>
      </c>
      <c r="C80">
        <v>108</v>
      </c>
    </row>
    <row r="81" spans="1:3">
      <c r="A81" t="s">
        <v>12</v>
      </c>
      <c r="B81">
        <v>5</v>
      </c>
      <c r="C81">
        <v>28</v>
      </c>
    </row>
    <row r="82" spans="1:3">
      <c r="A82" t="s">
        <v>13</v>
      </c>
      <c r="B82">
        <v>5</v>
      </c>
      <c r="C82">
        <v>92</v>
      </c>
    </row>
    <row r="83" spans="1:3">
      <c r="A83" t="s">
        <v>14</v>
      </c>
      <c r="B83">
        <v>5</v>
      </c>
      <c r="C83">
        <v>25.5</v>
      </c>
    </row>
    <row r="84" spans="1:3">
      <c r="A84" t="s">
        <v>15</v>
      </c>
      <c r="B84">
        <v>5</v>
      </c>
      <c r="C84">
        <v>8.1999999999999993</v>
      </c>
    </row>
    <row r="85" spans="1:3">
      <c r="A85" t="s">
        <v>16</v>
      </c>
      <c r="B85">
        <v>5</v>
      </c>
      <c r="C85">
        <v>39.200000000000003</v>
      </c>
    </row>
    <row r="86" spans="1:3">
      <c r="A86" t="s">
        <v>17</v>
      </c>
      <c r="B86">
        <v>5</v>
      </c>
      <c r="C86">
        <v>13</v>
      </c>
    </row>
    <row r="87" spans="1:3">
      <c r="A87" t="s">
        <v>114</v>
      </c>
      <c r="B87">
        <v>5</v>
      </c>
      <c r="C87">
        <v>29</v>
      </c>
    </row>
    <row r="88" spans="1:3">
      <c r="A88" t="s">
        <v>18</v>
      </c>
      <c r="B88">
        <v>5</v>
      </c>
      <c r="C88">
        <v>10</v>
      </c>
    </row>
    <row r="89" spans="1:3">
      <c r="A89" t="s">
        <v>5</v>
      </c>
      <c r="B89">
        <v>6</v>
      </c>
      <c r="C89">
        <v>32.5</v>
      </c>
    </row>
    <row r="90" spans="1:3">
      <c r="A90" t="s">
        <v>139</v>
      </c>
      <c r="B90">
        <v>6</v>
      </c>
      <c r="C90">
        <v>47.39</v>
      </c>
    </row>
    <row r="91" spans="1:3">
      <c r="A91" t="s">
        <v>6</v>
      </c>
      <c r="B91">
        <v>6</v>
      </c>
      <c r="C91">
        <v>25.6</v>
      </c>
    </row>
    <row r="92" spans="1:3">
      <c r="A92" t="s">
        <v>7</v>
      </c>
      <c r="B92">
        <v>6</v>
      </c>
      <c r="C92">
        <v>61.9</v>
      </c>
    </row>
    <row r="93" spans="1:3">
      <c r="A93" t="s">
        <v>8</v>
      </c>
      <c r="B93">
        <v>6</v>
      </c>
      <c r="C93">
        <v>19.5</v>
      </c>
    </row>
    <row r="94" spans="1:3">
      <c r="A94" t="s">
        <v>9</v>
      </c>
      <c r="B94">
        <v>6</v>
      </c>
      <c r="C94">
        <v>15</v>
      </c>
    </row>
    <row r="95" spans="1:3">
      <c r="A95" t="s">
        <v>10</v>
      </c>
      <c r="B95">
        <v>6</v>
      </c>
      <c r="C95">
        <v>34.299999999999997</v>
      </c>
    </row>
    <row r="96" spans="1:3">
      <c r="A96" t="s">
        <v>137</v>
      </c>
      <c r="B96">
        <v>6</v>
      </c>
      <c r="C96">
        <v>47.39</v>
      </c>
    </row>
    <row r="97" spans="1:3">
      <c r="A97" t="s">
        <v>11</v>
      </c>
      <c r="B97">
        <v>6</v>
      </c>
      <c r="C97">
        <v>105</v>
      </c>
    </row>
    <row r="98" spans="1:3">
      <c r="A98" t="s">
        <v>12</v>
      </c>
      <c r="B98">
        <v>6</v>
      </c>
      <c r="C98">
        <v>23.5</v>
      </c>
    </row>
    <row r="99" spans="1:3">
      <c r="A99" t="s">
        <v>13</v>
      </c>
      <c r="B99">
        <v>6</v>
      </c>
      <c r="C99">
        <v>92</v>
      </c>
    </row>
    <row r="100" spans="1:3">
      <c r="A100" t="s">
        <v>14</v>
      </c>
      <c r="B100">
        <v>6</v>
      </c>
      <c r="C100">
        <v>25.5</v>
      </c>
    </row>
    <row r="101" spans="1:3">
      <c r="A101" t="s">
        <v>15</v>
      </c>
      <c r="B101">
        <v>6</v>
      </c>
      <c r="C101">
        <v>8.1</v>
      </c>
    </row>
    <row r="102" spans="1:3">
      <c r="A102" t="s">
        <v>16</v>
      </c>
      <c r="B102">
        <v>6</v>
      </c>
      <c r="C102">
        <v>38.4</v>
      </c>
    </row>
    <row r="103" spans="1:3">
      <c r="A103" t="s">
        <v>17</v>
      </c>
      <c r="B103">
        <v>6</v>
      </c>
      <c r="C103">
        <v>12</v>
      </c>
    </row>
    <row r="104" spans="1:3">
      <c r="A104" t="s">
        <v>114</v>
      </c>
      <c r="B104">
        <v>6</v>
      </c>
      <c r="C104">
        <v>28</v>
      </c>
    </row>
    <row r="105" spans="1:3">
      <c r="A105" t="s">
        <v>18</v>
      </c>
      <c r="B105">
        <v>6</v>
      </c>
      <c r="C105">
        <v>9.1999999999999993</v>
      </c>
    </row>
    <row r="106" spans="1:3">
      <c r="A106" t="s">
        <v>5</v>
      </c>
      <c r="B106">
        <v>7</v>
      </c>
      <c r="C106">
        <v>32.5</v>
      </c>
    </row>
    <row r="107" spans="1:3">
      <c r="A107" t="s">
        <v>139</v>
      </c>
      <c r="B107">
        <v>7</v>
      </c>
      <c r="C107">
        <v>46.06</v>
      </c>
    </row>
    <row r="108" spans="1:3">
      <c r="A108" t="s">
        <v>6</v>
      </c>
      <c r="B108">
        <v>7</v>
      </c>
      <c r="C108">
        <v>25.6</v>
      </c>
    </row>
    <row r="109" spans="1:3">
      <c r="A109" t="s">
        <v>7</v>
      </c>
      <c r="B109">
        <v>7</v>
      </c>
      <c r="C109">
        <v>61.9</v>
      </c>
    </row>
    <row r="110" spans="1:3">
      <c r="A110" t="s">
        <v>8</v>
      </c>
      <c r="B110">
        <v>7</v>
      </c>
      <c r="C110">
        <v>19.5</v>
      </c>
    </row>
    <row r="111" spans="1:3">
      <c r="A111" t="s">
        <v>9</v>
      </c>
      <c r="B111">
        <v>7</v>
      </c>
      <c r="C111">
        <v>15</v>
      </c>
    </row>
    <row r="112" spans="1:3">
      <c r="A112" t="s">
        <v>10</v>
      </c>
      <c r="B112">
        <v>7</v>
      </c>
      <c r="C112">
        <v>34.299999999999997</v>
      </c>
    </row>
    <row r="113" spans="1:3">
      <c r="A113" t="s">
        <v>137</v>
      </c>
      <c r="B113">
        <v>7</v>
      </c>
      <c r="C113">
        <v>46.06</v>
      </c>
    </row>
    <row r="114" spans="1:3">
      <c r="A114" t="s">
        <v>11</v>
      </c>
      <c r="B114">
        <v>7</v>
      </c>
      <c r="C114">
        <v>105</v>
      </c>
    </row>
    <row r="115" spans="1:3">
      <c r="A115" t="s">
        <v>12</v>
      </c>
      <c r="B115">
        <v>7</v>
      </c>
      <c r="C115">
        <v>23.5</v>
      </c>
    </row>
    <row r="116" spans="1:3">
      <c r="A116" t="s">
        <v>13</v>
      </c>
      <c r="B116">
        <v>7</v>
      </c>
      <c r="C116">
        <v>92</v>
      </c>
    </row>
    <row r="117" spans="1:3">
      <c r="A117" t="s">
        <v>14</v>
      </c>
      <c r="B117">
        <v>7</v>
      </c>
      <c r="C117">
        <v>25.5</v>
      </c>
    </row>
    <row r="118" spans="1:3">
      <c r="A118" t="s">
        <v>15</v>
      </c>
      <c r="B118">
        <v>7</v>
      </c>
      <c r="C118">
        <v>8.1</v>
      </c>
    </row>
    <row r="119" spans="1:3">
      <c r="A119" t="s">
        <v>16</v>
      </c>
      <c r="B119">
        <v>7</v>
      </c>
      <c r="C119">
        <v>38.4</v>
      </c>
    </row>
    <row r="120" spans="1:3">
      <c r="A120" t="s">
        <v>17</v>
      </c>
      <c r="B120">
        <v>7</v>
      </c>
      <c r="C120">
        <v>12</v>
      </c>
    </row>
    <row r="121" spans="1:3">
      <c r="A121" t="s">
        <v>114</v>
      </c>
      <c r="B121">
        <v>7</v>
      </c>
      <c r="C121">
        <v>28</v>
      </c>
    </row>
    <row r="122" spans="1:3">
      <c r="A122" t="s">
        <v>18</v>
      </c>
      <c r="B122">
        <v>7</v>
      </c>
      <c r="C122">
        <v>9.1999999999999993</v>
      </c>
    </row>
    <row r="123" spans="1:3">
      <c r="A123" t="s">
        <v>19</v>
      </c>
      <c r="B123">
        <v>1</v>
      </c>
      <c r="C123">
        <v>52.3</v>
      </c>
    </row>
    <row r="124" spans="1:3">
      <c r="A124" t="s">
        <v>19</v>
      </c>
      <c r="B124">
        <v>2</v>
      </c>
      <c r="C124">
        <v>44.5</v>
      </c>
    </row>
    <row r="125" spans="1:3">
      <c r="A125" t="s">
        <v>19</v>
      </c>
      <c r="B125">
        <v>3</v>
      </c>
      <c r="C125">
        <v>44.5</v>
      </c>
    </row>
    <row r="126" spans="1:3">
      <c r="A126" t="s">
        <v>19</v>
      </c>
      <c r="B126">
        <v>4</v>
      </c>
      <c r="C126">
        <v>41.8</v>
      </c>
    </row>
    <row r="127" spans="1:3">
      <c r="A127" t="s">
        <v>19</v>
      </c>
      <c r="B127">
        <v>5</v>
      </c>
      <c r="C127">
        <v>41.8</v>
      </c>
    </row>
    <row r="128" spans="1:3">
      <c r="A128" t="s">
        <v>19</v>
      </c>
      <c r="B128">
        <v>6</v>
      </c>
      <c r="C128">
        <v>39.200000000000003</v>
      </c>
    </row>
    <row r="129" spans="1:3">
      <c r="A129" t="s">
        <v>19</v>
      </c>
      <c r="B129">
        <v>7</v>
      </c>
      <c r="C129">
        <v>39.200000000000003</v>
      </c>
    </row>
    <row r="130" spans="1:3">
      <c r="A130" t="s">
        <v>115</v>
      </c>
      <c r="B130">
        <v>1</v>
      </c>
      <c r="C130" s="6">
        <v>52.5</v>
      </c>
    </row>
    <row r="131" spans="1:3">
      <c r="A131" t="s">
        <v>115</v>
      </c>
      <c r="B131">
        <v>2</v>
      </c>
      <c r="C131" s="6">
        <v>38.44</v>
      </c>
    </row>
    <row r="132" spans="1:3">
      <c r="A132" t="s">
        <v>115</v>
      </c>
      <c r="B132">
        <v>3</v>
      </c>
      <c r="C132" s="6">
        <v>37.888888888888893</v>
      </c>
    </row>
    <row r="133" spans="1:3">
      <c r="A133" t="s">
        <v>115</v>
      </c>
      <c r="B133">
        <v>4</v>
      </c>
      <c r="C133" s="6">
        <v>34.799999999999997</v>
      </c>
    </row>
    <row r="134" spans="1:3">
      <c r="A134" t="s">
        <v>115</v>
      </c>
      <c r="B134">
        <v>5</v>
      </c>
      <c r="C134" s="6">
        <v>34.34210526315789</v>
      </c>
    </row>
    <row r="135" spans="1:3">
      <c r="A135" t="s">
        <v>115</v>
      </c>
      <c r="B135">
        <v>6</v>
      </c>
      <c r="C135" s="6">
        <v>33.157894736842103</v>
      </c>
    </row>
    <row r="136" spans="1:3">
      <c r="A136" t="s">
        <v>115</v>
      </c>
      <c r="B136">
        <v>7</v>
      </c>
      <c r="C136" s="6">
        <v>33.157894736842103</v>
      </c>
    </row>
    <row r="137" spans="1:3">
      <c r="A137" t="s">
        <v>101</v>
      </c>
      <c r="B137">
        <v>1</v>
      </c>
      <c r="C137" s="2">
        <v>6.38</v>
      </c>
    </row>
    <row r="138" spans="1:3">
      <c r="A138" t="s">
        <v>101</v>
      </c>
      <c r="B138">
        <v>2</v>
      </c>
      <c r="C138" s="2">
        <v>6.38</v>
      </c>
    </row>
    <row r="139" spans="1:3">
      <c r="A139" t="s">
        <v>101</v>
      </c>
      <c r="B139">
        <v>3</v>
      </c>
      <c r="C139" s="2">
        <v>6.38</v>
      </c>
    </row>
    <row r="140" spans="1:3">
      <c r="A140" t="s">
        <v>101</v>
      </c>
      <c r="B140">
        <v>4</v>
      </c>
      <c r="C140" s="2">
        <v>6.38</v>
      </c>
    </row>
    <row r="141" spans="1:3">
      <c r="A141" t="s">
        <v>101</v>
      </c>
      <c r="B141">
        <v>5</v>
      </c>
      <c r="C141" s="2">
        <v>6.38</v>
      </c>
    </row>
    <row r="142" spans="1:3">
      <c r="A142" t="s">
        <v>101</v>
      </c>
      <c r="B142">
        <v>6</v>
      </c>
      <c r="C142" s="2">
        <v>6.38</v>
      </c>
    </row>
    <row r="143" spans="1:3">
      <c r="A143" t="s">
        <v>101</v>
      </c>
      <c r="B143">
        <v>7</v>
      </c>
      <c r="C143" s="2">
        <v>6.38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B23"/>
  <sheetViews>
    <sheetView zoomScaleNormal="100" workbookViewId="0">
      <selection activeCell="A2" sqref="A2"/>
    </sheetView>
  </sheetViews>
  <sheetFormatPr defaultColWidth="10.81640625" defaultRowHeight="14.5"/>
  <cols>
    <col min="1" max="1" width="24" customWidth="1"/>
    <col min="2" max="2" width="36.1796875" bestFit="1" customWidth="1"/>
  </cols>
  <sheetData>
    <row r="1" spans="1:2">
      <c r="A1" t="s">
        <v>151</v>
      </c>
    </row>
    <row r="2" spans="1:2">
      <c r="A2" t="s">
        <v>22</v>
      </c>
    </row>
    <row r="3" spans="1:2">
      <c r="A3" t="s">
        <v>2</v>
      </c>
      <c r="B3" t="s">
        <v>23</v>
      </c>
    </row>
    <row r="4" spans="1:2">
      <c r="A4" t="s">
        <v>5</v>
      </c>
      <c r="B4">
        <v>3</v>
      </c>
    </row>
    <row r="5" spans="1:2">
      <c r="A5" t="s">
        <v>138</v>
      </c>
      <c r="B5">
        <v>3.28</v>
      </c>
    </row>
    <row r="6" spans="1:2">
      <c r="A6" t="s">
        <v>6</v>
      </c>
      <c r="B6">
        <v>2.4</v>
      </c>
    </row>
    <row r="7" spans="1:2">
      <c r="A7" t="s">
        <v>7</v>
      </c>
      <c r="B7">
        <v>7.3</v>
      </c>
    </row>
    <row r="8" spans="1:2">
      <c r="A8" t="s">
        <v>8</v>
      </c>
      <c r="B8">
        <v>2.31</v>
      </c>
    </row>
    <row r="9" spans="1:2">
      <c r="A9" t="s">
        <v>9</v>
      </c>
      <c r="B9">
        <v>2.31</v>
      </c>
    </row>
    <row r="10" spans="1:2">
      <c r="A10" t="s">
        <v>10</v>
      </c>
      <c r="B10">
        <v>2.9</v>
      </c>
    </row>
    <row r="11" spans="1:2">
      <c r="A11" t="s">
        <v>141</v>
      </c>
      <c r="B11">
        <v>2.76</v>
      </c>
    </row>
    <row r="12" spans="1:2">
      <c r="A12" t="s">
        <v>137</v>
      </c>
      <c r="B12">
        <v>3.28</v>
      </c>
    </row>
    <row r="13" spans="1:2">
      <c r="A13" t="s">
        <v>11</v>
      </c>
      <c r="B13">
        <v>7.5</v>
      </c>
    </row>
    <row r="14" spans="1:2">
      <c r="A14" t="s">
        <v>12</v>
      </c>
      <c r="B14">
        <v>0.1</v>
      </c>
    </row>
    <row r="15" spans="1:2">
      <c r="A15" t="s">
        <v>13</v>
      </c>
      <c r="B15">
        <v>0.32</v>
      </c>
    </row>
    <row r="16" spans="1:2">
      <c r="A16" t="s">
        <v>14</v>
      </c>
      <c r="B16">
        <v>0.32</v>
      </c>
    </row>
    <row r="17" spans="1:2">
      <c r="A17" t="s">
        <v>15</v>
      </c>
      <c r="B17">
        <v>0</v>
      </c>
    </row>
    <row r="18" spans="1:2">
      <c r="A18" t="s">
        <v>16</v>
      </c>
      <c r="B18">
        <v>3.56</v>
      </c>
    </row>
    <row r="19" spans="1:2">
      <c r="A19" t="s">
        <v>17</v>
      </c>
      <c r="B19">
        <v>0.18</v>
      </c>
    </row>
    <row r="20" spans="1:2">
      <c r="A20" t="s">
        <v>114</v>
      </c>
      <c r="B20">
        <v>0.39</v>
      </c>
    </row>
    <row r="21" spans="1:2">
      <c r="A21" t="s">
        <v>115</v>
      </c>
      <c r="B21">
        <v>0.39</v>
      </c>
    </row>
    <row r="22" spans="1:2">
      <c r="A22" t="s">
        <v>18</v>
      </c>
      <c r="B22">
        <v>0</v>
      </c>
    </row>
    <row r="23" spans="1:2">
      <c r="A23" t="s">
        <v>19</v>
      </c>
      <c r="B23">
        <v>0.82</v>
      </c>
    </row>
  </sheetData>
  <autoFilter ref="A3:B23" xr:uid="{86AA0E55-8A35-4D2F-9D77-EA22D2B08DB5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143"/>
  <sheetViews>
    <sheetView zoomScale="68" zoomScaleNormal="68" workbookViewId="0">
      <selection activeCell="C9" sqref="C9"/>
    </sheetView>
  </sheetViews>
  <sheetFormatPr defaultColWidth="10.453125" defaultRowHeight="14.5"/>
  <cols>
    <col min="1" max="1" width="25.453125" customWidth="1"/>
    <col min="2" max="2" width="6.81640625" bestFit="1" customWidth="1"/>
    <col min="3" max="3" width="30.453125" bestFit="1" customWidth="1"/>
  </cols>
  <sheetData>
    <row r="1" spans="1:3">
      <c r="A1" t="s">
        <v>24</v>
      </c>
    </row>
    <row r="2" spans="1:3">
      <c r="A2" t="s">
        <v>25</v>
      </c>
    </row>
    <row r="3" spans="1:3">
      <c r="A3" t="s">
        <v>2</v>
      </c>
      <c r="B3" t="s">
        <v>3</v>
      </c>
      <c r="C3" t="s">
        <v>26</v>
      </c>
    </row>
    <row r="4" spans="1:3">
      <c r="A4" t="s">
        <v>5</v>
      </c>
      <c r="B4">
        <v>1</v>
      </c>
      <c r="C4">
        <v>1.4</v>
      </c>
    </row>
    <row r="5" spans="1:3">
      <c r="A5" t="s">
        <v>139</v>
      </c>
      <c r="B5">
        <v>1</v>
      </c>
      <c r="C5">
        <v>1.4</v>
      </c>
    </row>
    <row r="6" spans="1:3">
      <c r="A6" t="s">
        <v>6</v>
      </c>
      <c r="B6">
        <v>1</v>
      </c>
      <c r="C6">
        <v>2.8501025506971391</v>
      </c>
    </row>
    <row r="7" spans="1:3">
      <c r="A7" t="s">
        <v>7</v>
      </c>
      <c r="B7">
        <v>1</v>
      </c>
      <c r="C7">
        <v>2.8501025506971391</v>
      </c>
    </row>
    <row r="8" spans="1:3">
      <c r="A8" t="s">
        <v>8</v>
      </c>
      <c r="B8">
        <v>1</v>
      </c>
      <c r="C8">
        <v>8.7045482099218034</v>
      </c>
    </row>
    <row r="9" spans="1:3">
      <c r="A9" t="s">
        <v>9</v>
      </c>
      <c r="B9">
        <v>1</v>
      </c>
      <c r="C9">
        <v>8.7045482099218034</v>
      </c>
    </row>
    <row r="10" spans="1:3">
      <c r="A10" t="s">
        <v>10</v>
      </c>
      <c r="B10">
        <v>1</v>
      </c>
      <c r="C10">
        <v>8.7045482099218034</v>
      </c>
    </row>
    <row r="11" spans="1:3">
      <c r="A11" t="s">
        <v>141</v>
      </c>
      <c r="B11">
        <v>1</v>
      </c>
      <c r="C11">
        <v>14.2</v>
      </c>
    </row>
    <row r="12" spans="1:3">
      <c r="A12" t="s">
        <v>137</v>
      </c>
      <c r="B12">
        <v>1</v>
      </c>
      <c r="C12">
        <v>3.4701722956274255</v>
      </c>
    </row>
    <row r="13" spans="1:3">
      <c r="A13" t="s">
        <v>11</v>
      </c>
      <c r="B13">
        <v>1</v>
      </c>
      <c r="C13">
        <v>1.0612079999999999</v>
      </c>
    </row>
    <row r="14" spans="1:3">
      <c r="A14" t="s">
        <v>12</v>
      </c>
      <c r="B14">
        <v>1</v>
      </c>
      <c r="C14">
        <v>0</v>
      </c>
    </row>
    <row r="15" spans="1:3">
      <c r="A15" t="s">
        <v>13</v>
      </c>
      <c r="B15">
        <v>1</v>
      </c>
      <c r="C15">
        <v>0</v>
      </c>
    </row>
    <row r="16" spans="1:3">
      <c r="A16" t="s">
        <v>14</v>
      </c>
      <c r="B16">
        <v>1</v>
      </c>
      <c r="C16">
        <v>0</v>
      </c>
    </row>
    <row r="17" spans="1:3">
      <c r="A17" t="s">
        <v>15</v>
      </c>
      <c r="B17">
        <v>1</v>
      </c>
      <c r="C17">
        <v>0</v>
      </c>
    </row>
    <row r="18" spans="1:3">
      <c r="A18" t="s">
        <v>16</v>
      </c>
      <c r="B18">
        <v>1</v>
      </c>
      <c r="C18">
        <v>9.0508000000000024</v>
      </c>
    </row>
    <row r="19" spans="1:3">
      <c r="A19" t="s">
        <v>17</v>
      </c>
      <c r="B19">
        <v>1</v>
      </c>
      <c r="C19">
        <v>0</v>
      </c>
    </row>
    <row r="20" spans="1:3">
      <c r="A20" t="s">
        <v>114</v>
      </c>
      <c r="B20">
        <v>1</v>
      </c>
      <c r="C20">
        <v>0</v>
      </c>
    </row>
    <row r="21" spans="1:3">
      <c r="A21" t="s">
        <v>18</v>
      </c>
      <c r="B21">
        <v>1</v>
      </c>
      <c r="C21">
        <v>0</v>
      </c>
    </row>
    <row r="22" spans="1:3">
      <c r="A22" t="s">
        <v>5</v>
      </c>
      <c r="B22">
        <v>2</v>
      </c>
      <c r="C22">
        <v>1.5</v>
      </c>
    </row>
    <row r="23" spans="1:3">
      <c r="A23" t="s">
        <v>139</v>
      </c>
      <c r="B23">
        <v>2</v>
      </c>
      <c r="C23">
        <v>1.5</v>
      </c>
    </row>
    <row r="24" spans="1:3">
      <c r="A24" t="s">
        <v>6</v>
      </c>
      <c r="B24">
        <v>2</v>
      </c>
      <c r="C24">
        <v>3.420491466266518</v>
      </c>
    </row>
    <row r="25" spans="1:3">
      <c r="A25" t="s">
        <v>7</v>
      </c>
      <c r="B25">
        <v>2</v>
      </c>
      <c r="C25">
        <v>3.420491466266518</v>
      </c>
    </row>
    <row r="26" spans="1:3">
      <c r="A26" t="s">
        <v>8</v>
      </c>
      <c r="B26">
        <v>2</v>
      </c>
      <c r="C26">
        <v>9.4661940765841024</v>
      </c>
    </row>
    <row r="27" spans="1:3">
      <c r="A27" t="s">
        <v>9</v>
      </c>
      <c r="B27">
        <v>2</v>
      </c>
      <c r="C27">
        <v>9.4661940765841024</v>
      </c>
    </row>
    <row r="28" spans="1:3">
      <c r="A28" t="s">
        <v>10</v>
      </c>
      <c r="B28">
        <v>2</v>
      </c>
      <c r="C28">
        <v>9.4661940765841024</v>
      </c>
    </row>
    <row r="29" spans="1:3">
      <c r="A29" t="s">
        <v>141</v>
      </c>
      <c r="B29">
        <v>2</v>
      </c>
      <c r="C29">
        <v>15.6</v>
      </c>
    </row>
    <row r="30" spans="1:3">
      <c r="A30" t="s">
        <v>137</v>
      </c>
      <c r="B30">
        <v>2</v>
      </c>
      <c r="C30">
        <v>4.0740303196398671</v>
      </c>
    </row>
    <row r="31" spans="1:3">
      <c r="A31" t="s">
        <v>11</v>
      </c>
      <c r="B31">
        <v>2</v>
      </c>
      <c r="C31">
        <v>1.08243216</v>
      </c>
    </row>
    <row r="32" spans="1:3">
      <c r="A32" t="s">
        <v>12</v>
      </c>
      <c r="B32">
        <v>2</v>
      </c>
      <c r="C32">
        <v>0</v>
      </c>
    </row>
    <row r="33" spans="1:3">
      <c r="A33" t="s">
        <v>13</v>
      </c>
      <c r="B33">
        <v>2</v>
      </c>
      <c r="C33">
        <v>0</v>
      </c>
    </row>
    <row r="34" spans="1:3">
      <c r="A34" t="s">
        <v>14</v>
      </c>
      <c r="B34">
        <v>2</v>
      </c>
      <c r="C34">
        <v>0</v>
      </c>
    </row>
    <row r="35" spans="1:3">
      <c r="A35" t="s">
        <v>15</v>
      </c>
      <c r="B35">
        <v>2</v>
      </c>
      <c r="C35">
        <v>0</v>
      </c>
    </row>
    <row r="36" spans="1:3">
      <c r="A36" t="s">
        <v>16</v>
      </c>
      <c r="B36">
        <v>2</v>
      </c>
      <c r="C36">
        <v>9.9558800000000041</v>
      </c>
    </row>
    <row r="37" spans="1:3">
      <c r="A37" t="s">
        <v>17</v>
      </c>
      <c r="B37">
        <v>2</v>
      </c>
      <c r="C37">
        <v>0</v>
      </c>
    </row>
    <row r="38" spans="1:3">
      <c r="A38" t="s">
        <v>114</v>
      </c>
      <c r="B38">
        <v>2</v>
      </c>
      <c r="C38">
        <v>0</v>
      </c>
    </row>
    <row r="39" spans="1:3">
      <c r="A39" t="s">
        <v>18</v>
      </c>
      <c r="B39">
        <v>2</v>
      </c>
      <c r="C39">
        <v>0</v>
      </c>
    </row>
    <row r="40" spans="1:3">
      <c r="A40" t="s">
        <v>5</v>
      </c>
      <c r="B40">
        <v>3</v>
      </c>
      <c r="C40">
        <v>1.5</v>
      </c>
    </row>
    <row r="41" spans="1:3">
      <c r="A41" t="s">
        <v>139</v>
      </c>
      <c r="B41">
        <v>3</v>
      </c>
      <c r="C41">
        <v>1.5</v>
      </c>
    </row>
    <row r="42" spans="1:3">
      <c r="A42" t="s">
        <v>6</v>
      </c>
      <c r="B42">
        <v>3</v>
      </c>
      <c r="C42">
        <v>3.6219155298293901</v>
      </c>
    </row>
    <row r="43" spans="1:3">
      <c r="A43" t="s">
        <v>7</v>
      </c>
      <c r="B43">
        <v>3</v>
      </c>
      <c r="C43">
        <v>3.6219155298293901</v>
      </c>
    </row>
    <row r="44" spans="1:3">
      <c r="A44" t="s">
        <v>8</v>
      </c>
      <c r="B44">
        <v>3</v>
      </c>
      <c r="C44">
        <v>10.110006791865812</v>
      </c>
    </row>
    <row r="45" spans="1:3">
      <c r="A45" t="s">
        <v>9</v>
      </c>
      <c r="B45">
        <v>3</v>
      </c>
      <c r="C45">
        <v>10.110006791865812</v>
      </c>
    </row>
    <row r="46" spans="1:3">
      <c r="A46" t="s">
        <v>10</v>
      </c>
      <c r="B46">
        <v>3</v>
      </c>
      <c r="C46">
        <v>10.110006791865812</v>
      </c>
    </row>
    <row r="47" spans="1:3">
      <c r="A47" t="s">
        <v>141</v>
      </c>
      <c r="B47">
        <v>3</v>
      </c>
      <c r="C47">
        <v>16.3</v>
      </c>
    </row>
    <row r="48" spans="1:3">
      <c r="A48" t="s">
        <v>137</v>
      </c>
      <c r="B48">
        <v>3</v>
      </c>
      <c r="C48">
        <v>4.3548707768464521</v>
      </c>
    </row>
    <row r="49" spans="1:3">
      <c r="A49" t="s">
        <v>11</v>
      </c>
      <c r="B49">
        <v>3</v>
      </c>
      <c r="C49">
        <v>1.1040808032</v>
      </c>
    </row>
    <row r="50" spans="1:3">
      <c r="A50" t="s">
        <v>12</v>
      </c>
      <c r="B50">
        <v>3</v>
      </c>
      <c r="C50">
        <v>0</v>
      </c>
    </row>
    <row r="51" spans="1:3">
      <c r="A51" t="s">
        <v>13</v>
      </c>
      <c r="B51">
        <v>3</v>
      </c>
      <c r="C51">
        <v>0</v>
      </c>
    </row>
    <row r="52" spans="1:3">
      <c r="A52" t="s">
        <v>14</v>
      </c>
      <c r="B52">
        <v>3</v>
      </c>
      <c r="C52">
        <v>0</v>
      </c>
    </row>
    <row r="53" spans="1:3">
      <c r="A53" t="s">
        <v>15</v>
      </c>
      <c r="B53">
        <v>3</v>
      </c>
      <c r="C53">
        <v>0</v>
      </c>
    </row>
    <row r="54" spans="1:3">
      <c r="A54" t="s">
        <v>16</v>
      </c>
      <c r="B54">
        <v>3</v>
      </c>
      <c r="C54">
        <v>10.951468000000006</v>
      </c>
    </row>
    <row r="55" spans="1:3">
      <c r="A55" t="s">
        <v>17</v>
      </c>
      <c r="B55">
        <v>3</v>
      </c>
      <c r="C55">
        <v>0</v>
      </c>
    </row>
    <row r="56" spans="1:3">
      <c r="A56" t="s">
        <v>114</v>
      </c>
      <c r="B56">
        <v>3</v>
      </c>
      <c r="C56">
        <v>0</v>
      </c>
    </row>
    <row r="57" spans="1:3">
      <c r="A57" t="s">
        <v>18</v>
      </c>
      <c r="B57">
        <v>3</v>
      </c>
      <c r="C57">
        <v>0</v>
      </c>
    </row>
    <row r="58" spans="1:3">
      <c r="A58" t="s">
        <v>5</v>
      </c>
      <c r="B58">
        <v>4</v>
      </c>
      <c r="C58">
        <v>1.5</v>
      </c>
    </row>
    <row r="59" spans="1:3">
      <c r="A59" t="s">
        <v>139</v>
      </c>
      <c r="B59">
        <v>4</v>
      </c>
      <c r="C59">
        <v>1.5</v>
      </c>
    </row>
    <row r="60" spans="1:3">
      <c r="A60" t="s">
        <v>6</v>
      </c>
      <c r="B60">
        <v>4</v>
      </c>
      <c r="C60">
        <v>3.7751822579238752</v>
      </c>
    </row>
    <row r="61" spans="1:3">
      <c r="A61" t="s">
        <v>7</v>
      </c>
      <c r="B61">
        <v>4</v>
      </c>
      <c r="C61">
        <v>3.7751822579238752</v>
      </c>
    </row>
    <row r="62" spans="1:3">
      <c r="A62" t="s">
        <v>8</v>
      </c>
      <c r="B62">
        <v>4</v>
      </c>
      <c r="C62">
        <v>10.450929406186267</v>
      </c>
    </row>
    <row r="63" spans="1:3">
      <c r="A63" t="s">
        <v>9</v>
      </c>
      <c r="B63">
        <v>4</v>
      </c>
      <c r="C63">
        <v>10.450929406186267</v>
      </c>
    </row>
    <row r="64" spans="1:3">
      <c r="A64" t="s">
        <v>10</v>
      </c>
      <c r="B64">
        <v>4</v>
      </c>
      <c r="C64">
        <v>10.450929406186267</v>
      </c>
    </row>
    <row r="65" spans="1:3">
      <c r="A65" t="s">
        <v>141</v>
      </c>
      <c r="B65">
        <v>4</v>
      </c>
      <c r="C65">
        <v>17.3</v>
      </c>
    </row>
    <row r="66" spans="1:3">
      <c r="A66" t="s">
        <v>137</v>
      </c>
      <c r="B66">
        <v>4</v>
      </c>
      <c r="C66">
        <v>4.6023255121314888</v>
      </c>
    </row>
    <row r="67" spans="1:3">
      <c r="A67" t="s">
        <v>11</v>
      </c>
      <c r="B67">
        <v>4</v>
      </c>
      <c r="C67">
        <v>1.1261624192640001</v>
      </c>
    </row>
    <row r="68" spans="1:3">
      <c r="A68" t="s">
        <v>12</v>
      </c>
      <c r="B68">
        <v>4</v>
      </c>
      <c r="C68">
        <v>0</v>
      </c>
    </row>
    <row r="69" spans="1:3">
      <c r="A69" t="s">
        <v>13</v>
      </c>
      <c r="B69">
        <v>4</v>
      </c>
      <c r="C69">
        <v>0</v>
      </c>
    </row>
    <row r="70" spans="1:3">
      <c r="A70" t="s">
        <v>14</v>
      </c>
      <c r="B70">
        <v>4</v>
      </c>
      <c r="C70">
        <v>0</v>
      </c>
    </row>
    <row r="71" spans="1:3">
      <c r="A71" t="s">
        <v>15</v>
      </c>
      <c r="B71">
        <v>4</v>
      </c>
      <c r="C71">
        <v>0</v>
      </c>
    </row>
    <row r="72" spans="1:3">
      <c r="A72" t="s">
        <v>16</v>
      </c>
      <c r="B72">
        <v>4</v>
      </c>
      <c r="C72">
        <v>12.046614800000008</v>
      </c>
    </row>
    <row r="73" spans="1:3">
      <c r="A73" t="s">
        <v>17</v>
      </c>
      <c r="B73">
        <v>4</v>
      </c>
      <c r="C73">
        <v>0</v>
      </c>
    </row>
    <row r="74" spans="1:3">
      <c r="A74" t="s">
        <v>114</v>
      </c>
      <c r="B74">
        <v>4</v>
      </c>
      <c r="C74">
        <v>0</v>
      </c>
    </row>
    <row r="75" spans="1:3">
      <c r="A75" t="s">
        <v>18</v>
      </c>
      <c r="B75">
        <v>4</v>
      </c>
      <c r="C75">
        <v>0</v>
      </c>
    </row>
    <row r="76" spans="1:3">
      <c r="A76" t="s">
        <v>5</v>
      </c>
      <c r="B76">
        <v>5</v>
      </c>
      <c r="C76">
        <v>1.5</v>
      </c>
    </row>
    <row r="77" spans="1:3">
      <c r="A77" t="s">
        <v>139</v>
      </c>
      <c r="B77">
        <v>5</v>
      </c>
      <c r="C77">
        <v>1.5</v>
      </c>
    </row>
    <row r="78" spans="1:3">
      <c r="A78" t="s">
        <v>6</v>
      </c>
      <c r="B78">
        <v>5</v>
      </c>
      <c r="C78">
        <v>3.9116825229286527</v>
      </c>
    </row>
    <row r="79" spans="1:3">
      <c r="A79" t="s">
        <v>7</v>
      </c>
      <c r="B79">
        <v>5</v>
      </c>
      <c r="C79">
        <v>3.9116825229286527</v>
      </c>
    </row>
    <row r="80" spans="1:3">
      <c r="A80" t="s">
        <v>8</v>
      </c>
      <c r="B80">
        <v>5</v>
      </c>
      <c r="C80">
        <v>10.665160348292561</v>
      </c>
    </row>
    <row r="81" spans="1:3">
      <c r="A81" t="s">
        <v>9</v>
      </c>
      <c r="B81">
        <v>5</v>
      </c>
      <c r="C81">
        <v>10.665160348292561</v>
      </c>
    </row>
    <row r="82" spans="1:3">
      <c r="A82" t="s">
        <v>10</v>
      </c>
      <c r="B82">
        <v>5</v>
      </c>
      <c r="C82">
        <v>10.665160348292561</v>
      </c>
    </row>
    <row r="83" spans="1:3">
      <c r="A83" t="s">
        <v>141</v>
      </c>
      <c r="B83">
        <v>5</v>
      </c>
      <c r="C83">
        <v>17.7</v>
      </c>
    </row>
    <row r="84" spans="1:3">
      <c r="A84" t="s">
        <v>137</v>
      </c>
      <c r="B84">
        <v>5</v>
      </c>
      <c r="C84">
        <v>4.8456418986357885</v>
      </c>
    </row>
    <row r="85" spans="1:3">
      <c r="A85" t="s">
        <v>11</v>
      </c>
      <c r="B85">
        <v>5</v>
      </c>
      <c r="C85">
        <v>1.14868566764928</v>
      </c>
    </row>
    <row r="86" spans="1:3">
      <c r="A86" t="s">
        <v>12</v>
      </c>
      <c r="B86">
        <v>5</v>
      </c>
      <c r="C86">
        <v>0</v>
      </c>
    </row>
    <row r="87" spans="1:3">
      <c r="A87" t="s">
        <v>13</v>
      </c>
      <c r="B87">
        <v>5</v>
      </c>
      <c r="C87">
        <v>0</v>
      </c>
    </row>
    <row r="88" spans="1:3">
      <c r="A88" t="s">
        <v>14</v>
      </c>
      <c r="B88">
        <v>5</v>
      </c>
      <c r="C88">
        <v>0</v>
      </c>
    </row>
    <row r="89" spans="1:3">
      <c r="A89" t="s">
        <v>15</v>
      </c>
      <c r="B89">
        <v>5</v>
      </c>
      <c r="C89">
        <v>0</v>
      </c>
    </row>
    <row r="90" spans="1:3">
      <c r="A90" t="s">
        <v>16</v>
      </c>
      <c r="B90">
        <v>5</v>
      </c>
      <c r="C90">
        <v>13.25127628000001</v>
      </c>
    </row>
    <row r="91" spans="1:3">
      <c r="A91" t="s">
        <v>17</v>
      </c>
      <c r="B91">
        <v>5</v>
      </c>
      <c r="C91">
        <v>0</v>
      </c>
    </row>
    <row r="92" spans="1:3">
      <c r="A92" t="s">
        <v>114</v>
      </c>
      <c r="B92">
        <v>5</v>
      </c>
      <c r="C92">
        <v>0</v>
      </c>
    </row>
    <row r="93" spans="1:3">
      <c r="A93" t="s">
        <v>18</v>
      </c>
      <c r="B93">
        <v>5</v>
      </c>
      <c r="C93">
        <v>0</v>
      </c>
    </row>
    <row r="94" spans="1:3">
      <c r="A94" t="s">
        <v>5</v>
      </c>
      <c r="B94">
        <v>6</v>
      </c>
      <c r="C94">
        <v>1.5</v>
      </c>
    </row>
    <row r="95" spans="1:3">
      <c r="A95" t="s">
        <v>139</v>
      </c>
      <c r="B95">
        <v>6</v>
      </c>
      <c r="C95">
        <v>1.5</v>
      </c>
    </row>
    <row r="96" spans="1:3">
      <c r="A96" t="s">
        <v>6</v>
      </c>
      <c r="B96">
        <v>6</v>
      </c>
      <c r="C96">
        <v>4.020680066959919</v>
      </c>
    </row>
    <row r="97" spans="1:3">
      <c r="A97" t="s">
        <v>7</v>
      </c>
      <c r="B97">
        <v>6</v>
      </c>
      <c r="C97">
        <v>4.020680066959919</v>
      </c>
    </row>
    <row r="98" spans="1:3">
      <c r="A98" t="s">
        <v>8</v>
      </c>
      <c r="B98">
        <v>6</v>
      </c>
      <c r="C98">
        <v>10.829622511919441</v>
      </c>
    </row>
    <row r="99" spans="1:3">
      <c r="A99" t="s">
        <v>9</v>
      </c>
      <c r="B99">
        <v>6</v>
      </c>
      <c r="C99">
        <v>10.829622511919441</v>
      </c>
    </row>
    <row r="100" spans="1:3">
      <c r="A100" t="s">
        <v>10</v>
      </c>
      <c r="B100">
        <v>6</v>
      </c>
      <c r="C100">
        <v>10.829622511919441</v>
      </c>
    </row>
    <row r="101" spans="1:3">
      <c r="A101" t="s">
        <v>141</v>
      </c>
      <c r="B101">
        <v>6</v>
      </c>
      <c r="C101">
        <v>18.100000000000001</v>
      </c>
    </row>
    <row r="102" spans="1:3">
      <c r="A102" t="s">
        <v>137</v>
      </c>
      <c r="B102">
        <v>6</v>
      </c>
      <c r="C102">
        <v>5.0762524510639286</v>
      </c>
    </row>
    <row r="103" spans="1:3">
      <c r="A103" t="s">
        <v>11</v>
      </c>
      <c r="B103">
        <v>6</v>
      </c>
      <c r="C103">
        <v>1.1716593810022657</v>
      </c>
    </row>
    <row r="104" spans="1:3">
      <c r="A104" t="s">
        <v>12</v>
      </c>
      <c r="B104">
        <v>6</v>
      </c>
      <c r="C104">
        <v>0</v>
      </c>
    </row>
    <row r="105" spans="1:3">
      <c r="A105" t="s">
        <v>13</v>
      </c>
      <c r="B105">
        <v>6</v>
      </c>
      <c r="C105">
        <v>0</v>
      </c>
    </row>
    <row r="106" spans="1:3">
      <c r="A106" t="s">
        <v>14</v>
      </c>
      <c r="B106">
        <v>6</v>
      </c>
      <c r="C106">
        <v>0</v>
      </c>
    </row>
    <row r="107" spans="1:3">
      <c r="A107" t="s">
        <v>15</v>
      </c>
      <c r="B107">
        <v>6</v>
      </c>
      <c r="C107">
        <v>0</v>
      </c>
    </row>
    <row r="108" spans="1:3">
      <c r="A108" t="s">
        <v>16</v>
      </c>
      <c r="B108">
        <v>6</v>
      </c>
      <c r="C108">
        <v>14.576403908000012</v>
      </c>
    </row>
    <row r="109" spans="1:3">
      <c r="A109" t="s">
        <v>17</v>
      </c>
      <c r="B109">
        <v>6</v>
      </c>
      <c r="C109">
        <v>0</v>
      </c>
    </row>
    <row r="110" spans="1:3">
      <c r="A110" t="s">
        <v>114</v>
      </c>
      <c r="B110">
        <v>6</v>
      </c>
      <c r="C110">
        <v>0</v>
      </c>
    </row>
    <row r="111" spans="1:3">
      <c r="A111" t="s">
        <v>18</v>
      </c>
      <c r="B111">
        <v>6</v>
      </c>
      <c r="C111">
        <v>0</v>
      </c>
    </row>
    <row r="112" spans="1:3">
      <c r="A112" t="s">
        <v>5</v>
      </c>
      <c r="B112">
        <v>7</v>
      </c>
      <c r="C112">
        <v>1.5</v>
      </c>
    </row>
    <row r="113" spans="1:3">
      <c r="A113" t="s">
        <v>139</v>
      </c>
      <c r="B113">
        <v>7</v>
      </c>
      <c r="C113">
        <v>1.5</v>
      </c>
    </row>
    <row r="114" spans="1:3">
      <c r="A114" t="s">
        <v>6</v>
      </c>
      <c r="B114">
        <v>7</v>
      </c>
      <c r="C114">
        <v>4.020680066959919</v>
      </c>
    </row>
    <row r="115" spans="1:3">
      <c r="A115" t="s">
        <v>7</v>
      </c>
      <c r="B115">
        <v>7</v>
      </c>
      <c r="C115">
        <v>4.020680066959919</v>
      </c>
    </row>
    <row r="116" spans="1:3">
      <c r="A116" t="s">
        <v>8</v>
      </c>
      <c r="B116">
        <v>7</v>
      </c>
      <c r="C116">
        <v>10.829622511919441</v>
      </c>
    </row>
    <row r="117" spans="1:3">
      <c r="A117" t="s">
        <v>9</v>
      </c>
      <c r="B117">
        <v>7</v>
      </c>
      <c r="C117">
        <v>10.829622511919441</v>
      </c>
    </row>
    <row r="118" spans="1:3">
      <c r="A118" t="s">
        <v>10</v>
      </c>
      <c r="B118">
        <v>7</v>
      </c>
      <c r="C118">
        <v>10.829622511919441</v>
      </c>
    </row>
    <row r="119" spans="1:3">
      <c r="A119" t="s">
        <v>141</v>
      </c>
      <c r="B119">
        <v>7</v>
      </c>
      <c r="C119">
        <v>18.100000000000001</v>
      </c>
    </row>
    <row r="120" spans="1:3">
      <c r="A120" t="s">
        <v>137</v>
      </c>
      <c r="B120">
        <v>7</v>
      </c>
      <c r="C120">
        <v>5.0762524510639286</v>
      </c>
    </row>
    <row r="121" spans="1:3">
      <c r="A121" t="s">
        <v>11</v>
      </c>
      <c r="B121">
        <v>7</v>
      </c>
      <c r="C121">
        <v>1.1716593810022657</v>
      </c>
    </row>
    <row r="122" spans="1:3">
      <c r="A122" t="s">
        <v>12</v>
      </c>
      <c r="B122">
        <v>7</v>
      </c>
      <c r="C122">
        <v>0</v>
      </c>
    </row>
    <row r="123" spans="1:3">
      <c r="A123" t="s">
        <v>13</v>
      </c>
      <c r="B123">
        <v>7</v>
      </c>
      <c r="C123">
        <v>0</v>
      </c>
    </row>
    <row r="124" spans="1:3">
      <c r="A124" t="s">
        <v>14</v>
      </c>
      <c r="B124">
        <v>7</v>
      </c>
      <c r="C124">
        <v>0</v>
      </c>
    </row>
    <row r="125" spans="1:3">
      <c r="A125" t="s">
        <v>15</v>
      </c>
      <c r="B125">
        <v>7</v>
      </c>
      <c r="C125">
        <v>0</v>
      </c>
    </row>
    <row r="126" spans="1:3">
      <c r="A126" t="s">
        <v>16</v>
      </c>
      <c r="B126">
        <v>7</v>
      </c>
      <c r="C126">
        <v>14.576403908000012</v>
      </c>
    </row>
    <row r="127" spans="1:3">
      <c r="A127" t="s">
        <v>17</v>
      </c>
      <c r="B127">
        <v>7</v>
      </c>
      <c r="C127">
        <v>0</v>
      </c>
    </row>
    <row r="128" spans="1:3">
      <c r="A128" t="s">
        <v>114</v>
      </c>
      <c r="B128">
        <v>7</v>
      </c>
      <c r="C128">
        <v>0</v>
      </c>
    </row>
    <row r="129" spans="1:3">
      <c r="A129" t="s">
        <v>18</v>
      </c>
      <c r="B129">
        <v>7</v>
      </c>
      <c r="C129">
        <v>0</v>
      </c>
    </row>
    <row r="130" spans="1:3">
      <c r="A130" t="s">
        <v>19</v>
      </c>
      <c r="B130">
        <v>1</v>
      </c>
      <c r="C130">
        <v>0</v>
      </c>
    </row>
    <row r="131" spans="1:3">
      <c r="A131" t="s">
        <v>19</v>
      </c>
      <c r="B131">
        <v>2</v>
      </c>
      <c r="C131">
        <v>0</v>
      </c>
    </row>
    <row r="132" spans="1:3">
      <c r="A132" t="s">
        <v>19</v>
      </c>
      <c r="B132">
        <v>3</v>
      </c>
      <c r="C132">
        <v>0</v>
      </c>
    </row>
    <row r="133" spans="1:3">
      <c r="A133" t="s">
        <v>19</v>
      </c>
      <c r="B133">
        <v>4</v>
      </c>
      <c r="C133">
        <v>0</v>
      </c>
    </row>
    <row r="134" spans="1:3">
      <c r="A134" t="s">
        <v>19</v>
      </c>
      <c r="B134">
        <v>5</v>
      </c>
      <c r="C134">
        <v>0</v>
      </c>
    </row>
    <row r="135" spans="1:3">
      <c r="A135" t="s">
        <v>19</v>
      </c>
      <c r="B135">
        <v>6</v>
      </c>
      <c r="C135">
        <v>0</v>
      </c>
    </row>
    <row r="136" spans="1:3">
      <c r="A136" t="s">
        <v>19</v>
      </c>
      <c r="B136">
        <v>7</v>
      </c>
      <c r="C136">
        <v>0</v>
      </c>
    </row>
    <row r="137" spans="1:3">
      <c r="A137" t="s">
        <v>115</v>
      </c>
      <c r="B137">
        <v>1</v>
      </c>
      <c r="C137">
        <v>0</v>
      </c>
    </row>
    <row r="138" spans="1:3">
      <c r="A138" t="s">
        <v>115</v>
      </c>
      <c r="B138">
        <v>2</v>
      </c>
      <c r="C138">
        <v>0</v>
      </c>
    </row>
    <row r="139" spans="1:3">
      <c r="A139" t="s">
        <v>115</v>
      </c>
      <c r="B139">
        <v>3</v>
      </c>
      <c r="C139">
        <v>0</v>
      </c>
    </row>
    <row r="140" spans="1:3">
      <c r="A140" t="s">
        <v>115</v>
      </c>
      <c r="B140">
        <v>4</v>
      </c>
      <c r="C140">
        <v>0</v>
      </c>
    </row>
    <row r="141" spans="1:3">
      <c r="A141" t="s">
        <v>115</v>
      </c>
      <c r="B141">
        <v>5</v>
      </c>
      <c r="C141">
        <v>0</v>
      </c>
    </row>
    <row r="142" spans="1:3">
      <c r="A142" t="s">
        <v>115</v>
      </c>
      <c r="B142">
        <v>6</v>
      </c>
      <c r="C142">
        <v>0</v>
      </c>
    </row>
    <row r="143" spans="1:3">
      <c r="A143" t="s">
        <v>115</v>
      </c>
      <c r="B143">
        <v>7</v>
      </c>
      <c r="C143">
        <v>0</v>
      </c>
    </row>
  </sheetData>
  <autoFilter ref="A3:C143" xr:uid="{4D299535-8217-4FDD-9775-08DFF4D5C579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10"/>
  <sheetViews>
    <sheetView workbookViewId="0">
      <selection activeCell="E8" sqref="E8"/>
    </sheetView>
  </sheetViews>
  <sheetFormatPr defaultColWidth="10.81640625" defaultRowHeight="14.5"/>
  <cols>
    <col min="1" max="1" width="9.453125" bestFit="1" customWidth="1"/>
    <col min="2" max="2" width="23.1796875" bestFit="1" customWidth="1"/>
  </cols>
  <sheetData>
    <row r="1" spans="1:2">
      <c r="A1" t="s">
        <v>27</v>
      </c>
    </row>
    <row r="2" spans="1:2">
      <c r="A2" t="s">
        <v>28</v>
      </c>
    </row>
    <row r="3" spans="1:2">
      <c r="A3" t="s">
        <v>3</v>
      </c>
      <c r="B3" t="s">
        <v>29</v>
      </c>
    </row>
    <row r="4" spans="1:2">
      <c r="A4">
        <v>1</v>
      </c>
      <c r="B4">
        <v>14.079703497822493</v>
      </c>
    </row>
    <row r="5" spans="1:2">
      <c r="A5">
        <v>2</v>
      </c>
      <c r="B5">
        <v>14.079703497822493</v>
      </c>
    </row>
    <row r="6" spans="1:2">
      <c r="A6">
        <v>3</v>
      </c>
      <c r="B6">
        <v>14.034289327890303</v>
      </c>
    </row>
    <row r="7" spans="1:2">
      <c r="A7">
        <v>4</v>
      </c>
      <c r="B7">
        <v>12.82179299472824</v>
      </c>
    </row>
    <row r="8" spans="1:2">
      <c r="A8">
        <v>5</v>
      </c>
      <c r="B8">
        <v>13.316996928789825</v>
      </c>
    </row>
    <row r="9" spans="1:2">
      <c r="A9">
        <v>6</v>
      </c>
      <c r="B9">
        <v>13.628762337450148</v>
      </c>
    </row>
    <row r="10" spans="1:2">
      <c r="A10">
        <v>7</v>
      </c>
      <c r="B10">
        <v>13.628762337450148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143"/>
  <sheetViews>
    <sheetView workbookViewId="0">
      <selection activeCell="H24" sqref="H24"/>
    </sheetView>
  </sheetViews>
  <sheetFormatPr defaultColWidth="10.81640625" defaultRowHeight="14.5"/>
  <cols>
    <col min="1" max="1" width="26.36328125" customWidth="1"/>
    <col min="2" max="2" width="8.453125" bestFit="1" customWidth="1"/>
    <col min="3" max="3" width="19.26953125" bestFit="1" customWidth="1"/>
  </cols>
  <sheetData>
    <row r="1" spans="1:3">
      <c r="A1" t="s">
        <v>30</v>
      </c>
    </row>
    <row r="2" spans="1:3">
      <c r="A2" t="s">
        <v>0</v>
      </c>
    </row>
    <row r="3" spans="1:3">
      <c r="A3" t="s">
        <v>2</v>
      </c>
      <c r="B3" s="1" t="s">
        <v>3</v>
      </c>
      <c r="C3" t="s">
        <v>31</v>
      </c>
    </row>
    <row r="4" spans="1:3">
      <c r="A4" t="s">
        <v>16</v>
      </c>
      <c r="B4">
        <v>1</v>
      </c>
      <c r="C4">
        <v>0.35</v>
      </c>
    </row>
    <row r="5" spans="1:3">
      <c r="A5" t="s">
        <v>16</v>
      </c>
      <c r="B5">
        <v>2</v>
      </c>
      <c r="C5">
        <v>0.39</v>
      </c>
    </row>
    <row r="6" spans="1:3">
      <c r="A6" t="s">
        <v>16</v>
      </c>
      <c r="B6">
        <v>3</v>
      </c>
      <c r="C6">
        <v>0.39</v>
      </c>
    </row>
    <row r="7" spans="1:3">
      <c r="A7" t="s">
        <v>16</v>
      </c>
      <c r="B7">
        <v>4</v>
      </c>
      <c r="C7">
        <v>0.4</v>
      </c>
    </row>
    <row r="8" spans="1:3">
      <c r="A8" t="s">
        <v>16</v>
      </c>
      <c r="B8">
        <v>5</v>
      </c>
      <c r="C8">
        <v>0.4</v>
      </c>
    </row>
    <row r="9" spans="1:3">
      <c r="A9" t="s">
        <v>16</v>
      </c>
      <c r="B9">
        <v>6</v>
      </c>
      <c r="C9">
        <v>0.4</v>
      </c>
    </row>
    <row r="10" spans="1:3">
      <c r="A10" t="s">
        <v>16</v>
      </c>
      <c r="B10">
        <v>7</v>
      </c>
      <c r="C10">
        <v>0.4</v>
      </c>
    </row>
    <row r="11" spans="1:3">
      <c r="A11" t="s">
        <v>137</v>
      </c>
      <c r="B11">
        <v>1</v>
      </c>
      <c r="C11">
        <v>0.38500000000000001</v>
      </c>
    </row>
    <row r="12" spans="1:3">
      <c r="A12" t="s">
        <v>137</v>
      </c>
      <c r="B12">
        <v>2</v>
      </c>
      <c r="C12">
        <v>0.38500000000000001</v>
      </c>
    </row>
    <row r="13" spans="1:3">
      <c r="A13" t="s">
        <v>137</v>
      </c>
      <c r="B13">
        <v>3</v>
      </c>
      <c r="C13">
        <v>0.38500000000000001</v>
      </c>
    </row>
    <row r="14" spans="1:3">
      <c r="A14" t="s">
        <v>137</v>
      </c>
      <c r="B14">
        <v>4</v>
      </c>
      <c r="C14">
        <v>0.39500000000000002</v>
      </c>
    </row>
    <row r="15" spans="1:3">
      <c r="A15" t="s">
        <v>137</v>
      </c>
      <c r="B15">
        <v>5</v>
      </c>
      <c r="C15">
        <v>0.40500000000000003</v>
      </c>
    </row>
    <row r="16" spans="1:3">
      <c r="A16" t="s">
        <v>137</v>
      </c>
      <c r="B16">
        <v>6</v>
      </c>
      <c r="C16">
        <v>0.41299999999999998</v>
      </c>
    </row>
    <row r="17" spans="1:3">
      <c r="A17" t="s">
        <v>137</v>
      </c>
      <c r="B17">
        <v>7</v>
      </c>
      <c r="C17">
        <v>0.42099999999999999</v>
      </c>
    </row>
    <row r="18" spans="1:3">
      <c r="A18" t="s">
        <v>6</v>
      </c>
      <c r="B18">
        <v>1</v>
      </c>
      <c r="C18">
        <v>0.38</v>
      </c>
    </row>
    <row r="19" spans="1:3">
      <c r="A19" t="s">
        <v>6</v>
      </c>
      <c r="B19">
        <v>2</v>
      </c>
      <c r="C19">
        <v>0.42</v>
      </c>
    </row>
    <row r="20" spans="1:3">
      <c r="A20" t="s">
        <v>6</v>
      </c>
      <c r="B20">
        <v>3</v>
      </c>
      <c r="C20">
        <v>0.42</v>
      </c>
    </row>
    <row r="21" spans="1:3">
      <c r="A21" t="s">
        <v>6</v>
      </c>
      <c r="B21">
        <v>4</v>
      </c>
      <c r="C21">
        <v>0.43</v>
      </c>
    </row>
    <row r="22" spans="1:3">
      <c r="A22" t="s">
        <v>6</v>
      </c>
      <c r="B22">
        <v>5</v>
      </c>
      <c r="C22">
        <v>0.43</v>
      </c>
    </row>
    <row r="23" spans="1:3">
      <c r="A23" t="s">
        <v>6</v>
      </c>
      <c r="B23">
        <v>6</v>
      </c>
      <c r="C23">
        <v>0.43</v>
      </c>
    </row>
    <row r="24" spans="1:3">
      <c r="A24" t="s">
        <v>6</v>
      </c>
      <c r="B24">
        <v>7</v>
      </c>
      <c r="C24">
        <v>0.43</v>
      </c>
    </row>
    <row r="25" spans="1:3">
      <c r="A25" t="s">
        <v>7</v>
      </c>
      <c r="B25">
        <v>1</v>
      </c>
      <c r="C25">
        <v>0.37</v>
      </c>
    </row>
    <row r="26" spans="1:3">
      <c r="A26" t="s">
        <v>7</v>
      </c>
      <c r="B26">
        <v>2</v>
      </c>
      <c r="C26">
        <v>0.39</v>
      </c>
    </row>
    <row r="27" spans="1:3">
      <c r="A27" t="s">
        <v>7</v>
      </c>
      <c r="B27">
        <v>3</v>
      </c>
      <c r="C27">
        <v>0.39</v>
      </c>
    </row>
    <row r="28" spans="1:3">
      <c r="A28" t="s">
        <v>7</v>
      </c>
      <c r="B28">
        <v>4</v>
      </c>
      <c r="C28">
        <v>0.4</v>
      </c>
    </row>
    <row r="29" spans="1:3">
      <c r="A29" t="s">
        <v>7</v>
      </c>
      <c r="B29">
        <v>5</v>
      </c>
      <c r="C29">
        <v>0.4</v>
      </c>
    </row>
    <row r="30" spans="1:3">
      <c r="A30" t="s">
        <v>7</v>
      </c>
      <c r="B30">
        <v>6</v>
      </c>
      <c r="C30">
        <v>0.41</v>
      </c>
    </row>
    <row r="31" spans="1:3">
      <c r="A31" t="s">
        <v>7</v>
      </c>
      <c r="B31">
        <v>7</v>
      </c>
      <c r="C31">
        <v>0.41</v>
      </c>
    </row>
    <row r="32" spans="1:3">
      <c r="A32" t="s">
        <v>9</v>
      </c>
      <c r="B32">
        <v>1</v>
      </c>
      <c r="C32">
        <v>0.56999999999999995</v>
      </c>
    </row>
    <row r="33" spans="1:3">
      <c r="A33" t="s">
        <v>9</v>
      </c>
      <c r="B33">
        <v>2</v>
      </c>
      <c r="C33">
        <v>0.57999999999999996</v>
      </c>
    </row>
    <row r="34" spans="1:3">
      <c r="A34" t="s">
        <v>9</v>
      </c>
      <c r="B34">
        <v>3</v>
      </c>
      <c r="C34">
        <v>0.57999999999999996</v>
      </c>
    </row>
    <row r="35" spans="1:3">
      <c r="A35" t="s">
        <v>9</v>
      </c>
      <c r="B35">
        <v>4</v>
      </c>
      <c r="C35">
        <v>0.59</v>
      </c>
    </row>
    <row r="36" spans="1:3">
      <c r="A36" t="s">
        <v>9</v>
      </c>
      <c r="B36">
        <v>5</v>
      </c>
      <c r="C36">
        <v>0.59</v>
      </c>
    </row>
    <row r="37" spans="1:3">
      <c r="A37" t="s">
        <v>9</v>
      </c>
      <c r="B37">
        <v>6</v>
      </c>
      <c r="C37">
        <v>0.59</v>
      </c>
    </row>
    <row r="38" spans="1:3">
      <c r="A38" t="s">
        <v>9</v>
      </c>
      <c r="B38">
        <v>7</v>
      </c>
      <c r="C38">
        <v>0.59</v>
      </c>
    </row>
    <row r="39" spans="1:3">
      <c r="A39" t="s">
        <v>10</v>
      </c>
      <c r="B39">
        <v>1</v>
      </c>
      <c r="C39">
        <v>0.43</v>
      </c>
    </row>
    <row r="40" spans="1:3">
      <c r="A40" t="s">
        <v>10</v>
      </c>
      <c r="B40">
        <v>2</v>
      </c>
      <c r="C40">
        <v>0.46</v>
      </c>
    </row>
    <row r="41" spans="1:3">
      <c r="A41" t="s">
        <v>10</v>
      </c>
      <c r="B41">
        <v>3</v>
      </c>
      <c r="C41">
        <v>0.46</v>
      </c>
    </row>
    <row r="42" spans="1:3">
      <c r="A42" t="s">
        <v>10</v>
      </c>
      <c r="B42">
        <v>4</v>
      </c>
      <c r="C42">
        <v>0.48</v>
      </c>
    </row>
    <row r="43" spans="1:3">
      <c r="A43" t="s">
        <v>10</v>
      </c>
      <c r="B43">
        <v>5</v>
      </c>
      <c r="C43">
        <v>0.48</v>
      </c>
    </row>
    <row r="44" spans="1:3">
      <c r="A44" t="s">
        <v>10</v>
      </c>
      <c r="B44">
        <v>6</v>
      </c>
      <c r="C44">
        <v>0.49</v>
      </c>
    </row>
    <row r="45" spans="1:3">
      <c r="A45" t="s">
        <v>10</v>
      </c>
      <c r="B45">
        <v>7</v>
      </c>
      <c r="C45">
        <v>0.49</v>
      </c>
    </row>
    <row r="46" spans="1:3">
      <c r="A46" t="s">
        <v>8</v>
      </c>
      <c r="B46">
        <v>1</v>
      </c>
      <c r="C46">
        <v>0.40300000000000002</v>
      </c>
    </row>
    <row r="47" spans="1:3">
      <c r="A47" t="s">
        <v>8</v>
      </c>
      <c r="B47">
        <v>2</v>
      </c>
      <c r="C47">
        <v>0.40500000000000003</v>
      </c>
    </row>
    <row r="48" spans="1:3">
      <c r="A48" t="s">
        <v>8</v>
      </c>
      <c r="B48">
        <v>3</v>
      </c>
      <c r="C48">
        <v>0.40799999999999997</v>
      </c>
    </row>
    <row r="49" spans="1:3">
      <c r="A49" t="s">
        <v>8</v>
      </c>
      <c r="B49">
        <v>4</v>
      </c>
      <c r="C49">
        <v>0.41</v>
      </c>
    </row>
    <row r="50" spans="1:3">
      <c r="A50" t="s">
        <v>8</v>
      </c>
      <c r="B50">
        <v>5</v>
      </c>
      <c r="C50">
        <v>0.41299999999999998</v>
      </c>
    </row>
    <row r="51" spans="1:3">
      <c r="A51" t="s">
        <v>8</v>
      </c>
      <c r="B51">
        <v>6</v>
      </c>
      <c r="C51">
        <v>0.41499999999999998</v>
      </c>
    </row>
    <row r="52" spans="1:3">
      <c r="A52" t="s">
        <v>8</v>
      </c>
      <c r="B52">
        <v>7</v>
      </c>
      <c r="C52">
        <v>0.41799999999999998</v>
      </c>
    </row>
    <row r="53" spans="1:3">
      <c r="A53" t="s">
        <v>13</v>
      </c>
      <c r="B53">
        <v>1</v>
      </c>
      <c r="C53">
        <v>0.1</v>
      </c>
    </row>
    <row r="54" spans="1:3">
      <c r="A54" t="s">
        <v>13</v>
      </c>
      <c r="B54">
        <v>2</v>
      </c>
      <c r="C54">
        <v>0.1</v>
      </c>
    </row>
    <row r="55" spans="1:3">
      <c r="A55" t="s">
        <v>13</v>
      </c>
      <c r="B55">
        <v>3</v>
      </c>
      <c r="C55">
        <v>0.1</v>
      </c>
    </row>
    <row r="56" spans="1:3">
      <c r="A56" t="s">
        <v>13</v>
      </c>
      <c r="B56">
        <v>4</v>
      </c>
      <c r="C56">
        <v>0.1</v>
      </c>
    </row>
    <row r="57" spans="1:3">
      <c r="A57" t="s">
        <v>13</v>
      </c>
      <c r="B57">
        <v>5</v>
      </c>
      <c r="C57">
        <v>0.1</v>
      </c>
    </row>
    <row r="58" spans="1:3">
      <c r="A58" t="s">
        <v>13</v>
      </c>
      <c r="B58">
        <v>6</v>
      </c>
      <c r="C58">
        <v>0.1</v>
      </c>
    </row>
    <row r="59" spans="1:3">
      <c r="A59" t="s">
        <v>13</v>
      </c>
      <c r="B59">
        <v>7</v>
      </c>
      <c r="C59">
        <v>0.1</v>
      </c>
    </row>
    <row r="60" spans="1:3">
      <c r="A60" t="s">
        <v>14</v>
      </c>
      <c r="B60">
        <v>1</v>
      </c>
      <c r="C60">
        <v>1</v>
      </c>
    </row>
    <row r="61" spans="1:3">
      <c r="A61" t="s">
        <v>14</v>
      </c>
      <c r="B61">
        <v>2</v>
      </c>
      <c r="C61">
        <v>1</v>
      </c>
    </row>
    <row r="62" spans="1:3">
      <c r="A62" t="s">
        <v>14</v>
      </c>
      <c r="B62">
        <v>3</v>
      </c>
      <c r="C62">
        <v>1</v>
      </c>
    </row>
    <row r="63" spans="1:3">
      <c r="A63" t="s">
        <v>14</v>
      </c>
      <c r="B63">
        <v>4</v>
      </c>
      <c r="C63">
        <v>1</v>
      </c>
    </row>
    <row r="64" spans="1:3">
      <c r="A64" t="s">
        <v>14</v>
      </c>
      <c r="B64">
        <v>5</v>
      </c>
      <c r="C64">
        <v>1</v>
      </c>
    </row>
    <row r="65" spans="1:3">
      <c r="A65" t="s">
        <v>14</v>
      </c>
      <c r="B65">
        <v>6</v>
      </c>
      <c r="C65">
        <v>1</v>
      </c>
    </row>
    <row r="66" spans="1:3">
      <c r="A66" t="s">
        <v>14</v>
      </c>
      <c r="B66">
        <v>7</v>
      </c>
      <c r="C66">
        <v>1</v>
      </c>
    </row>
    <row r="67" spans="1:3">
      <c r="A67" t="s">
        <v>15</v>
      </c>
      <c r="B67">
        <v>1</v>
      </c>
      <c r="C67">
        <v>1</v>
      </c>
    </row>
    <row r="68" spans="1:3">
      <c r="A68" t="s">
        <v>15</v>
      </c>
      <c r="B68">
        <v>2</v>
      </c>
      <c r="C68">
        <v>1</v>
      </c>
    </row>
    <row r="69" spans="1:3">
      <c r="A69" t="s">
        <v>15</v>
      </c>
      <c r="B69">
        <v>3</v>
      </c>
      <c r="C69">
        <v>1</v>
      </c>
    </row>
    <row r="70" spans="1:3">
      <c r="A70" t="s">
        <v>15</v>
      </c>
      <c r="B70">
        <v>4</v>
      </c>
      <c r="C70">
        <v>1</v>
      </c>
    </row>
    <row r="71" spans="1:3">
      <c r="A71" t="s">
        <v>15</v>
      </c>
      <c r="B71">
        <v>5</v>
      </c>
      <c r="C71">
        <v>1</v>
      </c>
    </row>
    <row r="72" spans="1:3">
      <c r="A72" t="s">
        <v>15</v>
      </c>
      <c r="B72">
        <v>6</v>
      </c>
      <c r="C72">
        <v>1</v>
      </c>
    </row>
    <row r="73" spans="1:3">
      <c r="A73" t="s">
        <v>15</v>
      </c>
      <c r="B73">
        <v>7</v>
      </c>
      <c r="C73">
        <v>1</v>
      </c>
    </row>
    <row r="74" spans="1:3">
      <c r="A74" t="s">
        <v>5</v>
      </c>
      <c r="B74">
        <v>1</v>
      </c>
      <c r="C74">
        <v>0.37</v>
      </c>
    </row>
    <row r="75" spans="1:3">
      <c r="A75" t="s">
        <v>5</v>
      </c>
      <c r="B75">
        <v>2</v>
      </c>
      <c r="C75">
        <v>0.38</v>
      </c>
    </row>
    <row r="76" spans="1:3">
      <c r="A76" t="s">
        <v>5</v>
      </c>
      <c r="B76">
        <v>3</v>
      </c>
      <c r="C76">
        <v>0.38</v>
      </c>
    </row>
    <row r="77" spans="1:3">
      <c r="A77" t="s">
        <v>5</v>
      </c>
      <c r="B77">
        <v>4</v>
      </c>
      <c r="C77">
        <v>0.37</v>
      </c>
    </row>
    <row r="78" spans="1:3">
      <c r="A78" t="s">
        <v>5</v>
      </c>
      <c r="B78">
        <v>5</v>
      </c>
      <c r="C78">
        <v>0.37</v>
      </c>
    </row>
    <row r="79" spans="1:3">
      <c r="A79" t="s">
        <v>5</v>
      </c>
      <c r="B79">
        <v>6</v>
      </c>
      <c r="C79">
        <v>0.37</v>
      </c>
    </row>
    <row r="80" spans="1:3">
      <c r="A80" t="s">
        <v>5</v>
      </c>
      <c r="B80">
        <v>7</v>
      </c>
      <c r="C80">
        <v>0.37</v>
      </c>
    </row>
    <row r="81" spans="1:3">
      <c r="A81" t="s">
        <v>138</v>
      </c>
      <c r="B81">
        <v>1</v>
      </c>
      <c r="C81">
        <v>0.373</v>
      </c>
    </row>
    <row r="82" spans="1:3">
      <c r="A82" t="s">
        <v>138</v>
      </c>
      <c r="B82">
        <v>2</v>
      </c>
      <c r="C82">
        <v>0.373</v>
      </c>
    </row>
    <row r="83" spans="1:3">
      <c r="A83" t="s">
        <v>138</v>
      </c>
      <c r="B83">
        <v>3</v>
      </c>
      <c r="C83">
        <v>0.373</v>
      </c>
    </row>
    <row r="84" spans="1:3">
      <c r="A84" t="s">
        <v>138</v>
      </c>
      <c r="B84">
        <v>4</v>
      </c>
      <c r="C84">
        <v>0.38500000000000001</v>
      </c>
    </row>
    <row r="85" spans="1:3">
      <c r="A85" t="s">
        <v>138</v>
      </c>
      <c r="B85">
        <v>5</v>
      </c>
      <c r="C85">
        <v>0.39800000000000002</v>
      </c>
    </row>
    <row r="86" spans="1:3">
      <c r="A86" t="s">
        <v>138</v>
      </c>
      <c r="B86">
        <v>6</v>
      </c>
      <c r="C86">
        <v>0.40799999999999997</v>
      </c>
    </row>
    <row r="87" spans="1:3">
      <c r="A87" t="s">
        <v>138</v>
      </c>
      <c r="B87">
        <v>7</v>
      </c>
      <c r="C87">
        <v>0.41899999999999998</v>
      </c>
    </row>
    <row r="88" spans="1:3">
      <c r="A88" t="s">
        <v>11</v>
      </c>
      <c r="B88">
        <v>1</v>
      </c>
      <c r="C88">
        <v>0.38</v>
      </c>
    </row>
    <row r="89" spans="1:3">
      <c r="A89" t="s">
        <v>11</v>
      </c>
      <c r="B89">
        <v>2</v>
      </c>
      <c r="C89">
        <v>0.38</v>
      </c>
    </row>
    <row r="90" spans="1:3">
      <c r="A90" t="s">
        <v>11</v>
      </c>
      <c r="B90">
        <v>3</v>
      </c>
      <c r="C90">
        <v>0.38</v>
      </c>
    </row>
    <row r="91" spans="1:3">
      <c r="A91" t="s">
        <v>11</v>
      </c>
      <c r="B91">
        <v>4</v>
      </c>
      <c r="C91">
        <v>0.38</v>
      </c>
    </row>
    <row r="92" spans="1:3">
      <c r="A92" t="s">
        <v>11</v>
      </c>
      <c r="B92">
        <v>5</v>
      </c>
      <c r="C92">
        <v>0.38</v>
      </c>
    </row>
    <row r="93" spans="1:3">
      <c r="A93" t="s">
        <v>11</v>
      </c>
      <c r="B93">
        <v>6</v>
      </c>
      <c r="C93">
        <v>0.38</v>
      </c>
    </row>
    <row r="94" spans="1:3">
      <c r="A94" t="s">
        <v>11</v>
      </c>
      <c r="B94">
        <v>7</v>
      </c>
      <c r="C94">
        <v>0.38</v>
      </c>
    </row>
    <row r="95" spans="1:3">
      <c r="A95" t="s">
        <v>141</v>
      </c>
      <c r="B95">
        <v>1</v>
      </c>
      <c r="C95">
        <v>0.376</v>
      </c>
    </row>
    <row r="96" spans="1:3">
      <c r="A96" t="s">
        <v>141</v>
      </c>
      <c r="B96">
        <v>2</v>
      </c>
      <c r="C96">
        <v>0.376</v>
      </c>
    </row>
    <row r="97" spans="1:3">
      <c r="A97" t="s">
        <v>141</v>
      </c>
      <c r="B97">
        <v>3</v>
      </c>
      <c r="C97">
        <v>0.376</v>
      </c>
    </row>
    <row r="98" spans="1:3">
      <c r="A98" t="s">
        <v>141</v>
      </c>
      <c r="B98">
        <v>4</v>
      </c>
      <c r="C98">
        <v>0.376</v>
      </c>
    </row>
    <row r="99" spans="1:3">
      <c r="A99" t="s">
        <v>141</v>
      </c>
      <c r="B99">
        <v>5</v>
      </c>
      <c r="C99">
        <v>0.376</v>
      </c>
    </row>
    <row r="100" spans="1:3">
      <c r="A100" t="s">
        <v>141</v>
      </c>
      <c r="B100">
        <v>6</v>
      </c>
      <c r="C100">
        <v>0.376</v>
      </c>
    </row>
    <row r="101" spans="1:3">
      <c r="A101" t="s">
        <v>141</v>
      </c>
      <c r="B101">
        <v>7</v>
      </c>
      <c r="C101">
        <v>0.376</v>
      </c>
    </row>
    <row r="102" spans="1:3">
      <c r="A102" t="s">
        <v>18</v>
      </c>
      <c r="B102">
        <v>1</v>
      </c>
      <c r="C102">
        <v>1</v>
      </c>
    </row>
    <row r="103" spans="1:3">
      <c r="A103" t="s">
        <v>18</v>
      </c>
      <c r="B103">
        <v>2</v>
      </c>
      <c r="C103">
        <v>1</v>
      </c>
    </row>
    <row r="104" spans="1:3">
      <c r="A104" t="s">
        <v>18</v>
      </c>
      <c r="B104">
        <v>3</v>
      </c>
      <c r="C104">
        <v>1</v>
      </c>
    </row>
    <row r="105" spans="1:3">
      <c r="A105" t="s">
        <v>18</v>
      </c>
      <c r="B105">
        <v>4</v>
      </c>
      <c r="C105">
        <v>1</v>
      </c>
    </row>
    <row r="106" spans="1:3">
      <c r="A106" t="s">
        <v>18</v>
      </c>
      <c r="B106">
        <v>5</v>
      </c>
      <c r="C106">
        <v>1</v>
      </c>
    </row>
    <row r="107" spans="1:3">
      <c r="A107" t="s">
        <v>18</v>
      </c>
      <c r="B107">
        <v>6</v>
      </c>
      <c r="C107">
        <v>1</v>
      </c>
    </row>
    <row r="108" spans="1:3">
      <c r="A108" t="s">
        <v>18</v>
      </c>
      <c r="B108">
        <v>7</v>
      </c>
      <c r="C108">
        <v>1</v>
      </c>
    </row>
    <row r="109" spans="1:3">
      <c r="A109" t="s">
        <v>12</v>
      </c>
      <c r="B109">
        <v>1</v>
      </c>
      <c r="C109">
        <v>1</v>
      </c>
    </row>
    <row r="110" spans="1:3">
      <c r="A110" t="s">
        <v>12</v>
      </c>
      <c r="B110">
        <v>2</v>
      </c>
      <c r="C110">
        <v>1</v>
      </c>
    </row>
    <row r="111" spans="1:3">
      <c r="A111" t="s">
        <v>12</v>
      </c>
      <c r="B111">
        <v>3</v>
      </c>
      <c r="C111">
        <v>1</v>
      </c>
    </row>
    <row r="112" spans="1:3">
      <c r="A112" t="s">
        <v>12</v>
      </c>
      <c r="B112">
        <v>4</v>
      </c>
      <c r="C112">
        <v>1</v>
      </c>
    </row>
    <row r="113" spans="1:3">
      <c r="A113" t="s">
        <v>12</v>
      </c>
      <c r="B113">
        <v>5</v>
      </c>
      <c r="C113">
        <v>1</v>
      </c>
    </row>
    <row r="114" spans="1:3">
      <c r="A114" t="s">
        <v>12</v>
      </c>
      <c r="B114">
        <v>6</v>
      </c>
      <c r="C114">
        <v>1</v>
      </c>
    </row>
    <row r="115" spans="1:3">
      <c r="A115" t="s">
        <v>12</v>
      </c>
      <c r="B115">
        <v>7</v>
      </c>
      <c r="C115">
        <v>1</v>
      </c>
    </row>
    <row r="116" spans="1:3">
      <c r="A116" t="s">
        <v>114</v>
      </c>
      <c r="B116">
        <v>1</v>
      </c>
      <c r="C116">
        <v>1</v>
      </c>
    </row>
    <row r="117" spans="1:3">
      <c r="A117" t="s">
        <v>114</v>
      </c>
      <c r="B117">
        <v>2</v>
      </c>
      <c r="C117">
        <v>1</v>
      </c>
    </row>
    <row r="118" spans="1:3">
      <c r="A118" t="s">
        <v>114</v>
      </c>
      <c r="B118">
        <v>3</v>
      </c>
      <c r="C118">
        <v>1</v>
      </c>
    </row>
    <row r="119" spans="1:3">
      <c r="A119" t="s">
        <v>114</v>
      </c>
      <c r="B119">
        <v>4</v>
      </c>
      <c r="C119">
        <v>1</v>
      </c>
    </row>
    <row r="120" spans="1:3">
      <c r="A120" t="s">
        <v>114</v>
      </c>
      <c r="B120">
        <v>5</v>
      </c>
      <c r="C120">
        <v>1</v>
      </c>
    </row>
    <row r="121" spans="1:3">
      <c r="A121" t="s">
        <v>114</v>
      </c>
      <c r="B121">
        <v>6</v>
      </c>
      <c r="C121">
        <v>1</v>
      </c>
    </row>
    <row r="122" spans="1:3">
      <c r="A122" t="s">
        <v>114</v>
      </c>
      <c r="B122">
        <v>7</v>
      </c>
      <c r="C122">
        <v>1</v>
      </c>
    </row>
    <row r="123" spans="1:3">
      <c r="A123" t="s">
        <v>17</v>
      </c>
      <c r="B123">
        <v>1</v>
      </c>
      <c r="C123">
        <v>1</v>
      </c>
    </row>
    <row r="124" spans="1:3">
      <c r="A124" t="s">
        <v>17</v>
      </c>
      <c r="B124">
        <v>2</v>
      </c>
      <c r="C124">
        <v>1</v>
      </c>
    </row>
    <row r="125" spans="1:3">
      <c r="A125" t="s">
        <v>17</v>
      </c>
      <c r="B125">
        <v>3</v>
      </c>
      <c r="C125">
        <v>1</v>
      </c>
    </row>
    <row r="126" spans="1:3">
      <c r="A126" t="s">
        <v>17</v>
      </c>
      <c r="B126">
        <v>4</v>
      </c>
      <c r="C126">
        <v>1</v>
      </c>
    </row>
    <row r="127" spans="1:3">
      <c r="A127" t="s">
        <v>17</v>
      </c>
      <c r="B127">
        <v>5</v>
      </c>
      <c r="C127">
        <v>1</v>
      </c>
    </row>
    <row r="128" spans="1:3">
      <c r="A128" t="s">
        <v>17</v>
      </c>
      <c r="B128">
        <v>6</v>
      </c>
      <c r="C128">
        <v>1</v>
      </c>
    </row>
    <row r="129" spans="1:3">
      <c r="A129" t="s">
        <v>17</v>
      </c>
      <c r="B129">
        <v>7</v>
      </c>
      <c r="C129">
        <v>1</v>
      </c>
    </row>
    <row r="130" spans="1:3">
      <c r="A130" t="s">
        <v>19</v>
      </c>
      <c r="B130">
        <v>1</v>
      </c>
      <c r="C130">
        <v>0.33</v>
      </c>
    </row>
    <row r="131" spans="1:3">
      <c r="A131" t="s">
        <v>19</v>
      </c>
      <c r="B131">
        <v>2</v>
      </c>
      <c r="C131">
        <v>0.34</v>
      </c>
    </row>
    <row r="132" spans="1:3">
      <c r="A132" t="s">
        <v>19</v>
      </c>
      <c r="B132">
        <v>3</v>
      </c>
      <c r="C132">
        <v>0.34</v>
      </c>
    </row>
    <row r="133" spans="1:3">
      <c r="A133" t="s">
        <v>19</v>
      </c>
      <c r="B133">
        <v>4</v>
      </c>
      <c r="C133">
        <v>0.34</v>
      </c>
    </row>
    <row r="134" spans="1:3">
      <c r="A134" t="s">
        <v>19</v>
      </c>
      <c r="B134">
        <v>5</v>
      </c>
      <c r="C134">
        <v>0.34</v>
      </c>
    </row>
    <row r="135" spans="1:3">
      <c r="A135" t="s">
        <v>19</v>
      </c>
      <c r="B135">
        <v>6</v>
      </c>
      <c r="C135">
        <v>0.34</v>
      </c>
    </row>
    <row r="136" spans="1:3">
      <c r="A136" t="s">
        <v>19</v>
      </c>
      <c r="B136">
        <v>7</v>
      </c>
      <c r="C136">
        <v>0.34</v>
      </c>
    </row>
    <row r="137" spans="1:3">
      <c r="A137" t="s">
        <v>115</v>
      </c>
      <c r="B137">
        <v>1</v>
      </c>
      <c r="C137">
        <v>1</v>
      </c>
    </row>
    <row r="138" spans="1:3">
      <c r="A138" t="s">
        <v>115</v>
      </c>
      <c r="B138">
        <v>2</v>
      </c>
      <c r="C138">
        <v>1</v>
      </c>
    </row>
    <row r="139" spans="1:3">
      <c r="A139" t="s">
        <v>115</v>
      </c>
      <c r="B139">
        <v>3</v>
      </c>
      <c r="C139">
        <v>1</v>
      </c>
    </row>
    <row r="140" spans="1:3">
      <c r="A140" t="s">
        <v>115</v>
      </c>
      <c r="B140">
        <v>4</v>
      </c>
      <c r="C140">
        <v>1</v>
      </c>
    </row>
    <row r="141" spans="1:3">
      <c r="A141" t="s">
        <v>115</v>
      </c>
      <c r="B141">
        <v>5</v>
      </c>
      <c r="C141">
        <v>1</v>
      </c>
    </row>
    <row r="142" spans="1:3">
      <c r="A142" t="s">
        <v>115</v>
      </c>
      <c r="B142">
        <v>6</v>
      </c>
      <c r="C142">
        <v>1</v>
      </c>
    </row>
    <row r="143" spans="1:3">
      <c r="A143" t="s">
        <v>115</v>
      </c>
      <c r="B143">
        <v>7</v>
      </c>
      <c r="C143">
        <v>1</v>
      </c>
    </row>
  </sheetData>
  <sortState xmlns:xlrd2="http://schemas.microsoft.com/office/spreadsheetml/2017/richdata2" ref="A5:C129">
    <sortCondition ref="A5:A129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173"/>
  <sheetViews>
    <sheetView workbookViewId="0">
      <selection activeCell="B43" sqref="B43"/>
    </sheetView>
  </sheetViews>
  <sheetFormatPr defaultColWidth="10.81640625" defaultRowHeight="14.5"/>
  <cols>
    <col min="1" max="1" width="31.453125" customWidth="1"/>
    <col min="2" max="2" width="5.81640625" bestFit="1" customWidth="1"/>
    <col min="3" max="3" width="29.81640625" bestFit="1" customWidth="1"/>
    <col min="4" max="4" width="19.1796875" bestFit="1" customWidth="1"/>
  </cols>
  <sheetData>
    <row r="1" spans="1:4">
      <c r="A1" t="s">
        <v>70</v>
      </c>
    </row>
    <row r="2" spans="1:4">
      <c r="A2" t="s">
        <v>71</v>
      </c>
    </row>
    <row r="3" spans="1:4">
      <c r="A3" t="s">
        <v>2</v>
      </c>
      <c r="B3" t="s">
        <v>3</v>
      </c>
      <c r="C3" t="s">
        <v>72</v>
      </c>
      <c r="D3" t="s">
        <v>73</v>
      </c>
    </row>
    <row r="4" spans="1:4">
      <c r="A4" t="s">
        <v>144</v>
      </c>
      <c r="B4">
        <v>2</v>
      </c>
      <c r="C4" s="2">
        <v>0.58653846153846156</v>
      </c>
      <c r="D4" t="s">
        <v>74</v>
      </c>
    </row>
    <row r="5" spans="1:4">
      <c r="A5" t="s">
        <v>142</v>
      </c>
      <c r="B5">
        <v>2</v>
      </c>
      <c r="C5" s="2">
        <v>0.58653846153846156</v>
      </c>
      <c r="D5" t="s">
        <v>74</v>
      </c>
    </row>
    <row r="6" spans="1:4">
      <c r="A6" t="s">
        <v>9</v>
      </c>
      <c r="B6">
        <v>2</v>
      </c>
      <c r="C6" s="2">
        <v>0.57692307692307698</v>
      </c>
      <c r="D6" t="s">
        <v>74</v>
      </c>
    </row>
    <row r="7" spans="1:4">
      <c r="A7" t="s">
        <v>141</v>
      </c>
      <c r="B7">
        <v>2</v>
      </c>
      <c r="C7" s="2">
        <v>0.66666666666666652</v>
      </c>
      <c r="D7" t="s">
        <v>74</v>
      </c>
    </row>
    <row r="8" spans="1:4">
      <c r="A8" t="s">
        <v>143</v>
      </c>
      <c r="B8">
        <v>2</v>
      </c>
      <c r="C8" s="2">
        <v>0.42857142857142855</v>
      </c>
      <c r="D8" t="s">
        <v>75</v>
      </c>
    </row>
    <row r="9" spans="1:4">
      <c r="A9" t="s">
        <v>11</v>
      </c>
      <c r="B9">
        <v>2</v>
      </c>
      <c r="C9" s="2">
        <v>0.42857142857142855</v>
      </c>
      <c r="D9" t="s">
        <v>75</v>
      </c>
    </row>
    <row r="10" spans="1:4">
      <c r="A10" t="s">
        <v>144</v>
      </c>
      <c r="B10">
        <v>3</v>
      </c>
      <c r="C10" s="2">
        <v>0.71153846153846156</v>
      </c>
      <c r="D10" t="s">
        <v>74</v>
      </c>
    </row>
    <row r="11" spans="1:4">
      <c r="A11" t="s">
        <v>142</v>
      </c>
      <c r="B11">
        <v>3</v>
      </c>
      <c r="C11" s="2">
        <v>0.71153846153846156</v>
      </c>
      <c r="D11" t="s">
        <v>74</v>
      </c>
    </row>
    <row r="12" spans="1:4">
      <c r="A12" t="s">
        <v>9</v>
      </c>
      <c r="B12">
        <v>3</v>
      </c>
      <c r="C12" s="2">
        <v>0.90384615384615385</v>
      </c>
      <c r="D12" t="s">
        <v>74</v>
      </c>
    </row>
    <row r="13" spans="1:4">
      <c r="A13" t="s">
        <v>141</v>
      </c>
      <c r="B13">
        <v>3</v>
      </c>
      <c r="C13" s="2">
        <v>0.75925925925925908</v>
      </c>
      <c r="D13" t="s">
        <v>74</v>
      </c>
    </row>
    <row r="14" spans="1:4">
      <c r="A14" t="s">
        <v>143</v>
      </c>
      <c r="B14">
        <v>3</v>
      </c>
      <c r="C14" s="2">
        <v>0.5714285714285714</v>
      </c>
      <c r="D14" t="s">
        <v>75</v>
      </c>
    </row>
    <row r="15" spans="1:4">
      <c r="A15" t="s">
        <v>11</v>
      </c>
      <c r="B15">
        <v>3</v>
      </c>
      <c r="C15" s="2">
        <v>0.5714285714285714</v>
      </c>
      <c r="D15" t="s">
        <v>75</v>
      </c>
    </row>
    <row r="16" spans="1:4">
      <c r="A16" t="s">
        <v>144</v>
      </c>
      <c r="B16">
        <v>4</v>
      </c>
      <c r="C16" s="2">
        <v>0.8</v>
      </c>
      <c r="D16" t="s">
        <v>74</v>
      </c>
    </row>
    <row r="17" spans="1:4">
      <c r="A17" t="s">
        <v>142</v>
      </c>
      <c r="B17">
        <v>4</v>
      </c>
      <c r="C17" s="2">
        <v>0.8</v>
      </c>
      <c r="D17" t="s">
        <v>74</v>
      </c>
    </row>
    <row r="18" spans="1:4">
      <c r="A18" t="s">
        <v>9</v>
      </c>
      <c r="B18">
        <v>4</v>
      </c>
      <c r="C18" s="2">
        <v>0.92</v>
      </c>
      <c r="D18" t="s">
        <v>74</v>
      </c>
    </row>
    <row r="19" spans="1:4">
      <c r="A19" t="s">
        <v>141</v>
      </c>
      <c r="B19">
        <v>4</v>
      </c>
      <c r="C19" s="2">
        <v>0.85</v>
      </c>
      <c r="D19" t="s">
        <v>74</v>
      </c>
    </row>
    <row r="20" spans="1:4">
      <c r="A20" t="s">
        <v>143</v>
      </c>
      <c r="B20">
        <v>4</v>
      </c>
      <c r="C20" s="2">
        <v>0.7142857142857143</v>
      </c>
      <c r="D20" t="s">
        <v>75</v>
      </c>
    </row>
    <row r="21" spans="1:4">
      <c r="A21" t="s">
        <v>11</v>
      </c>
      <c r="B21">
        <v>4</v>
      </c>
      <c r="C21" s="2">
        <v>0.7142857142857143</v>
      </c>
      <c r="D21" t="s">
        <v>75</v>
      </c>
    </row>
    <row r="22" spans="1:4">
      <c r="A22" t="s">
        <v>144</v>
      </c>
      <c r="B22">
        <v>5</v>
      </c>
      <c r="C22" s="2">
        <v>0.95</v>
      </c>
      <c r="D22" t="s">
        <v>76</v>
      </c>
    </row>
    <row r="23" spans="1:4">
      <c r="A23" t="s">
        <v>142</v>
      </c>
      <c r="B23">
        <v>5</v>
      </c>
      <c r="C23" s="2">
        <v>0.95</v>
      </c>
      <c r="D23" t="s">
        <v>76</v>
      </c>
    </row>
    <row r="24" spans="1:4">
      <c r="A24" t="s">
        <v>9</v>
      </c>
      <c r="B24">
        <v>5</v>
      </c>
      <c r="C24" s="2">
        <v>1</v>
      </c>
      <c r="D24" t="s">
        <v>76</v>
      </c>
    </row>
    <row r="25" spans="1:4">
      <c r="A25" t="s">
        <v>141</v>
      </c>
      <c r="B25">
        <v>5</v>
      </c>
      <c r="C25" s="2">
        <v>0.95</v>
      </c>
      <c r="D25" t="s">
        <v>76</v>
      </c>
    </row>
    <row r="26" spans="1:4">
      <c r="A26" t="s">
        <v>143</v>
      </c>
      <c r="B26">
        <v>5</v>
      </c>
      <c r="C26" s="2">
        <v>0.8571428571428571</v>
      </c>
      <c r="D26" t="s">
        <v>75</v>
      </c>
    </row>
    <row r="27" spans="1:4">
      <c r="A27" t="s">
        <v>11</v>
      </c>
      <c r="B27">
        <v>5</v>
      </c>
      <c r="C27" s="2">
        <v>0.8571428571428571</v>
      </c>
      <c r="D27" t="s">
        <v>75</v>
      </c>
    </row>
    <row r="28" spans="1:4">
      <c r="A28" t="s">
        <v>17</v>
      </c>
      <c r="B28">
        <v>5</v>
      </c>
      <c r="C28" s="2">
        <v>0.5</v>
      </c>
    </row>
    <row r="29" spans="1:4">
      <c r="A29" t="s">
        <v>114</v>
      </c>
      <c r="B29">
        <v>5</v>
      </c>
      <c r="C29" s="2">
        <v>1</v>
      </c>
    </row>
    <row r="30" spans="1:4">
      <c r="A30" t="s">
        <v>18</v>
      </c>
      <c r="B30">
        <v>5</v>
      </c>
      <c r="C30" s="2">
        <v>0.5</v>
      </c>
    </row>
    <row r="31" spans="1:4">
      <c r="A31" t="s">
        <v>144</v>
      </c>
      <c r="B31">
        <v>6</v>
      </c>
      <c r="C31" s="2">
        <v>1</v>
      </c>
      <c r="D31" t="s">
        <v>76</v>
      </c>
    </row>
    <row r="32" spans="1:4">
      <c r="A32" t="s">
        <v>142</v>
      </c>
      <c r="B32">
        <v>6</v>
      </c>
      <c r="C32" s="2">
        <v>1</v>
      </c>
      <c r="D32" t="s">
        <v>76</v>
      </c>
    </row>
    <row r="33" spans="1:4">
      <c r="A33" t="s">
        <v>9</v>
      </c>
      <c r="B33">
        <v>6</v>
      </c>
      <c r="C33" s="2">
        <v>1</v>
      </c>
      <c r="D33" t="s">
        <v>76</v>
      </c>
    </row>
    <row r="34" spans="1:4">
      <c r="A34" t="s">
        <v>141</v>
      </c>
      <c r="B34">
        <v>6</v>
      </c>
      <c r="C34" s="2">
        <v>1</v>
      </c>
      <c r="D34" t="s">
        <v>76</v>
      </c>
    </row>
    <row r="35" spans="1:4">
      <c r="A35" t="s">
        <v>143</v>
      </c>
      <c r="B35">
        <v>6</v>
      </c>
      <c r="C35" s="2">
        <v>1</v>
      </c>
      <c r="D35" t="s">
        <v>75</v>
      </c>
    </row>
    <row r="36" spans="1:4">
      <c r="A36" t="s">
        <v>11</v>
      </c>
      <c r="B36">
        <v>6</v>
      </c>
      <c r="C36" s="2">
        <v>1</v>
      </c>
      <c r="D36" t="s">
        <v>75</v>
      </c>
    </row>
    <row r="37" spans="1:4">
      <c r="A37" t="s">
        <v>17</v>
      </c>
      <c r="B37">
        <v>6</v>
      </c>
      <c r="C37" s="2">
        <v>1</v>
      </c>
    </row>
    <row r="38" spans="1:4">
      <c r="A38" t="s">
        <v>114</v>
      </c>
      <c r="B38">
        <v>6</v>
      </c>
      <c r="C38" s="2">
        <v>1</v>
      </c>
    </row>
    <row r="39" spans="1:4">
      <c r="A39" t="s">
        <v>18</v>
      </c>
      <c r="B39">
        <v>6</v>
      </c>
      <c r="C39" s="2">
        <v>1</v>
      </c>
    </row>
    <row r="40" spans="1:4">
      <c r="A40" t="s">
        <v>144</v>
      </c>
      <c r="B40">
        <v>7</v>
      </c>
      <c r="C40" s="2">
        <v>1</v>
      </c>
      <c r="D40" t="s">
        <v>76</v>
      </c>
    </row>
    <row r="41" spans="1:4">
      <c r="A41" t="s">
        <v>142</v>
      </c>
      <c r="B41">
        <v>7</v>
      </c>
      <c r="C41" s="2">
        <v>1</v>
      </c>
      <c r="D41" t="s">
        <v>76</v>
      </c>
    </row>
    <row r="42" spans="1:4">
      <c r="A42" t="s">
        <v>9</v>
      </c>
      <c r="B42">
        <v>7</v>
      </c>
      <c r="C42" s="2">
        <v>1</v>
      </c>
      <c r="D42" t="s">
        <v>76</v>
      </c>
    </row>
    <row r="43" spans="1:4">
      <c r="A43" t="s">
        <v>141</v>
      </c>
      <c r="B43">
        <v>7</v>
      </c>
      <c r="C43" s="2">
        <v>1</v>
      </c>
      <c r="D43" t="s">
        <v>76</v>
      </c>
    </row>
    <row r="44" spans="1:4">
      <c r="A44" t="s">
        <v>143</v>
      </c>
      <c r="B44">
        <v>7</v>
      </c>
      <c r="C44" s="2">
        <v>1</v>
      </c>
      <c r="D44" t="s">
        <v>75</v>
      </c>
    </row>
    <row r="45" spans="1:4">
      <c r="A45" t="s">
        <v>11</v>
      </c>
      <c r="B45">
        <v>7</v>
      </c>
      <c r="C45" s="2">
        <v>1</v>
      </c>
      <c r="D45" t="s">
        <v>75</v>
      </c>
    </row>
    <row r="46" spans="1:4">
      <c r="A46" t="s">
        <v>17</v>
      </c>
      <c r="B46">
        <v>7</v>
      </c>
      <c r="C46" s="2">
        <v>1</v>
      </c>
    </row>
    <row r="47" spans="1:4">
      <c r="A47" t="s">
        <v>114</v>
      </c>
      <c r="B47">
        <v>7</v>
      </c>
      <c r="C47" s="2">
        <v>1</v>
      </c>
    </row>
    <row r="48" spans="1:4">
      <c r="A48" t="s">
        <v>18</v>
      </c>
      <c r="B48">
        <v>7</v>
      </c>
      <c r="C48" s="2">
        <v>1</v>
      </c>
    </row>
    <row r="49" spans="1:3">
      <c r="A49" t="s">
        <v>115</v>
      </c>
      <c r="B49">
        <v>5</v>
      </c>
      <c r="C49" s="2">
        <v>1</v>
      </c>
    </row>
    <row r="50" spans="1:3">
      <c r="A50" t="s">
        <v>115</v>
      </c>
      <c r="B50">
        <v>6</v>
      </c>
      <c r="C50" s="2">
        <v>1</v>
      </c>
    </row>
    <row r="51" spans="1:3">
      <c r="A51" t="s">
        <v>115</v>
      </c>
      <c r="B51">
        <v>7</v>
      </c>
      <c r="C51" s="2">
        <v>1</v>
      </c>
    </row>
    <row r="52" spans="1:3">
      <c r="A52" t="s">
        <v>8</v>
      </c>
      <c r="B52">
        <v>2</v>
      </c>
      <c r="C52" s="2">
        <v>0.57692307692307698</v>
      </c>
    </row>
    <row r="53" spans="1:3">
      <c r="A53" t="s">
        <v>8</v>
      </c>
      <c r="B53">
        <v>3</v>
      </c>
      <c r="C53" s="2">
        <v>0.90384615384615385</v>
      </c>
    </row>
    <row r="54" spans="1:3">
      <c r="A54" t="s">
        <v>8</v>
      </c>
      <c r="B54">
        <v>4</v>
      </c>
      <c r="C54" s="2">
        <v>0.92</v>
      </c>
    </row>
    <row r="55" spans="1:3">
      <c r="A55" t="s">
        <v>8</v>
      </c>
      <c r="B55">
        <v>5</v>
      </c>
      <c r="C55" s="2">
        <v>1</v>
      </c>
    </row>
    <row r="56" spans="1:3">
      <c r="A56" t="s">
        <v>8</v>
      </c>
      <c r="B56">
        <v>6</v>
      </c>
      <c r="C56" s="2">
        <v>1</v>
      </c>
    </row>
    <row r="57" spans="1:3">
      <c r="A57" t="s">
        <v>8</v>
      </c>
      <c r="B57">
        <v>7</v>
      </c>
      <c r="C57" s="2">
        <v>1</v>
      </c>
    </row>
    <row r="58" spans="1:3">
      <c r="C58" s="2"/>
    </row>
    <row r="59" spans="1:3">
      <c r="C59" s="2"/>
    </row>
    <row r="60" spans="1:3">
      <c r="C60" s="2"/>
    </row>
    <row r="61" spans="1:3">
      <c r="C61" s="2"/>
    </row>
    <row r="62" spans="1:3">
      <c r="C62" s="2"/>
    </row>
    <row r="63" spans="1:3">
      <c r="C63" s="2"/>
    </row>
    <row r="64" spans="1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</sheetData>
  <autoFilter ref="A3:C51" xr:uid="{35E59718-F383-44D5-9469-41FBA9506C0A}"/>
  <conditionalFormatting sqref="A52:A5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2:F69 A6 A12 A18 A24 A33 A4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1AFC-AD04-42C0-9E59-914B278707F0}">
  <dimension ref="A1:G435"/>
  <sheetViews>
    <sheetView zoomScale="80" zoomScaleNormal="112" workbookViewId="0">
      <selection activeCell="E5" sqref="E5"/>
    </sheetView>
  </sheetViews>
  <sheetFormatPr defaultColWidth="13.453125" defaultRowHeight="14.5"/>
  <cols>
    <col min="1" max="1" width="20.08984375" customWidth="1"/>
    <col min="2" max="2" width="30" customWidth="1"/>
    <col min="3" max="3" width="37.6328125" style="4" bestFit="1" customWidth="1"/>
  </cols>
  <sheetData>
    <row r="1" spans="1:7">
      <c r="A1" t="s">
        <v>149</v>
      </c>
    </row>
    <row r="2" spans="1:7">
      <c r="A2" t="s">
        <v>145</v>
      </c>
    </row>
    <row r="3" spans="1:7">
      <c r="A3" t="s">
        <v>33</v>
      </c>
      <c r="B3" t="s">
        <v>2</v>
      </c>
      <c r="C3" t="s">
        <v>34</v>
      </c>
    </row>
    <row r="4" spans="1:7">
      <c r="A4" t="s">
        <v>35</v>
      </c>
      <c r="B4" t="s">
        <v>16</v>
      </c>
      <c r="C4">
        <v>549</v>
      </c>
    </row>
    <row r="5" spans="1:7">
      <c r="A5" t="s">
        <v>35</v>
      </c>
      <c r="B5" t="s">
        <v>142</v>
      </c>
      <c r="C5">
        <v>0</v>
      </c>
      <c r="E5" s="8"/>
      <c r="F5" t="s">
        <v>150</v>
      </c>
      <c r="G5" s="43" t="s">
        <v>146</v>
      </c>
    </row>
    <row r="6" spans="1:7">
      <c r="A6" t="s">
        <v>35</v>
      </c>
      <c r="B6" t="s">
        <v>9</v>
      </c>
      <c r="C6">
        <v>3380</v>
      </c>
      <c r="E6" s="7"/>
    </row>
    <row r="7" spans="1:7">
      <c r="A7" t="s">
        <v>35</v>
      </c>
      <c r="B7" t="s">
        <v>13</v>
      </c>
      <c r="C7">
        <v>0.25</v>
      </c>
    </row>
    <row r="8" spans="1:7">
      <c r="A8" t="s">
        <v>35</v>
      </c>
      <c r="B8" t="s">
        <v>14</v>
      </c>
      <c r="C8">
        <v>2519</v>
      </c>
    </row>
    <row r="9" spans="1:7">
      <c r="A9" t="s">
        <v>35</v>
      </c>
      <c r="B9" t="s">
        <v>15</v>
      </c>
      <c r="C9">
        <v>5817</v>
      </c>
    </row>
    <row r="10" spans="1:7">
      <c r="A10" t="s">
        <v>35</v>
      </c>
      <c r="B10" t="s">
        <v>11</v>
      </c>
      <c r="C10">
        <v>0</v>
      </c>
    </row>
    <row r="11" spans="1:7">
      <c r="A11" t="s">
        <v>35</v>
      </c>
      <c r="B11" t="s">
        <v>101</v>
      </c>
      <c r="C11" s="6">
        <v>125</v>
      </c>
    </row>
    <row r="12" spans="1:7">
      <c r="A12" t="s">
        <v>35</v>
      </c>
      <c r="B12" t="s">
        <v>18</v>
      </c>
      <c r="C12">
        <v>7294</v>
      </c>
    </row>
    <row r="13" spans="1:7">
      <c r="A13" t="s">
        <v>35</v>
      </c>
      <c r="B13" t="s">
        <v>19</v>
      </c>
      <c r="C13">
        <v>80</v>
      </c>
    </row>
    <row r="14" spans="1:7">
      <c r="A14" t="s">
        <v>35</v>
      </c>
      <c r="B14" t="s">
        <v>17</v>
      </c>
      <c r="C14">
        <v>4021</v>
      </c>
    </row>
    <row r="15" spans="1:7">
      <c r="A15" t="s">
        <v>37</v>
      </c>
      <c r="B15" t="s">
        <v>16</v>
      </c>
      <c r="C15">
        <v>730.82</v>
      </c>
    </row>
    <row r="16" spans="1:7">
      <c r="A16" t="s">
        <v>37</v>
      </c>
      <c r="B16" t="s">
        <v>9</v>
      </c>
      <c r="C16">
        <v>5595.9279999999999</v>
      </c>
    </row>
    <row r="17" spans="1:3">
      <c r="A17" t="s">
        <v>37</v>
      </c>
      <c r="B17" t="s">
        <v>15</v>
      </c>
      <c r="C17">
        <v>185.51</v>
      </c>
    </row>
    <row r="18" spans="1:3">
      <c r="A18" t="s">
        <v>37</v>
      </c>
      <c r="B18" t="s">
        <v>11</v>
      </c>
      <c r="C18">
        <v>3929</v>
      </c>
    </row>
    <row r="19" spans="1:3">
      <c r="A19" t="s">
        <v>37</v>
      </c>
      <c r="B19" t="s">
        <v>101</v>
      </c>
      <c r="C19">
        <v>0</v>
      </c>
    </row>
    <row r="20" spans="1:3">
      <c r="A20" t="s">
        <v>37</v>
      </c>
      <c r="B20" t="s">
        <v>18</v>
      </c>
      <c r="C20">
        <v>8788.7900000000009</v>
      </c>
    </row>
    <row r="21" spans="1:3">
      <c r="A21" t="s">
        <v>37</v>
      </c>
      <c r="B21" t="s">
        <v>19</v>
      </c>
      <c r="C21">
        <v>383.64</v>
      </c>
    </row>
    <row r="22" spans="1:3">
      <c r="A22" t="s">
        <v>37</v>
      </c>
      <c r="B22" t="s">
        <v>115</v>
      </c>
      <c r="C22">
        <v>0</v>
      </c>
    </row>
    <row r="23" spans="1:3">
      <c r="A23" t="s">
        <v>37</v>
      </c>
      <c r="B23" t="s">
        <v>114</v>
      </c>
      <c r="C23">
        <v>2262.1</v>
      </c>
    </row>
    <row r="24" spans="1:3">
      <c r="A24" t="s">
        <v>37</v>
      </c>
      <c r="B24" t="s">
        <v>17</v>
      </c>
      <c r="C24">
        <v>3053.18</v>
      </c>
    </row>
    <row r="25" spans="1:3">
      <c r="A25" t="s">
        <v>123</v>
      </c>
      <c r="B25" t="s">
        <v>115</v>
      </c>
      <c r="C25">
        <v>0</v>
      </c>
    </row>
    <row r="26" spans="1:3">
      <c r="A26" t="s">
        <v>123</v>
      </c>
      <c r="B26" t="s">
        <v>114</v>
      </c>
      <c r="C26">
        <v>3739.3</v>
      </c>
    </row>
    <row r="27" spans="1:3">
      <c r="A27" t="s">
        <v>36</v>
      </c>
      <c r="B27" t="s">
        <v>14</v>
      </c>
      <c r="C27">
        <v>1456</v>
      </c>
    </row>
    <row r="28" spans="1:3">
      <c r="A28" t="s">
        <v>36</v>
      </c>
      <c r="B28" t="s">
        <v>15</v>
      </c>
      <c r="C28">
        <v>252</v>
      </c>
    </row>
    <row r="29" spans="1:3">
      <c r="A29" t="s">
        <v>36</v>
      </c>
      <c r="B29" t="s">
        <v>5</v>
      </c>
      <c r="C29">
        <v>1883</v>
      </c>
    </row>
    <row r="30" spans="1:3">
      <c r="A30" t="s">
        <v>36</v>
      </c>
      <c r="B30" t="s">
        <v>141</v>
      </c>
      <c r="C30">
        <v>0</v>
      </c>
    </row>
    <row r="31" spans="1:3">
      <c r="A31" t="s">
        <v>36</v>
      </c>
      <c r="B31" t="s">
        <v>18</v>
      </c>
      <c r="C31" s="2">
        <v>29.9</v>
      </c>
    </row>
    <row r="32" spans="1:3">
      <c r="A32" t="s">
        <v>36</v>
      </c>
      <c r="B32" t="s">
        <v>19</v>
      </c>
      <c r="C32">
        <v>0</v>
      </c>
    </row>
    <row r="33" spans="1:5">
      <c r="A33" t="s">
        <v>36</v>
      </c>
      <c r="B33" t="s">
        <v>17</v>
      </c>
      <c r="C33" s="10">
        <v>134.6</v>
      </c>
    </row>
    <row r="34" spans="1:5">
      <c r="A34" t="s">
        <v>38</v>
      </c>
      <c r="B34" t="s">
        <v>16</v>
      </c>
      <c r="C34">
        <v>74</v>
      </c>
    </row>
    <row r="35" spans="1:5">
      <c r="A35" t="s">
        <v>38</v>
      </c>
      <c r="B35" t="s">
        <v>142</v>
      </c>
      <c r="C35">
        <v>356</v>
      </c>
      <c r="E35" s="5"/>
    </row>
    <row r="36" spans="1:5">
      <c r="A36" t="s">
        <v>38</v>
      </c>
      <c r="B36" t="s">
        <v>9</v>
      </c>
      <c r="C36">
        <v>559.20000000000005</v>
      </c>
    </row>
    <row r="37" spans="1:5">
      <c r="A37" t="s">
        <v>38</v>
      </c>
      <c r="B37" t="s">
        <v>14</v>
      </c>
      <c r="C37">
        <v>1807</v>
      </c>
    </row>
    <row r="38" spans="1:5">
      <c r="A38" t="s">
        <v>38</v>
      </c>
      <c r="B38" t="s">
        <v>15</v>
      </c>
      <c r="C38">
        <v>542</v>
      </c>
    </row>
    <row r="39" spans="1:5">
      <c r="A39" t="s">
        <v>38</v>
      </c>
      <c r="B39" t="s">
        <v>5</v>
      </c>
      <c r="C39">
        <v>4119</v>
      </c>
    </row>
    <row r="40" spans="1:5">
      <c r="A40" t="s">
        <v>38</v>
      </c>
      <c r="B40" t="s">
        <v>11</v>
      </c>
      <c r="C40">
        <v>2080</v>
      </c>
    </row>
    <row r="41" spans="1:5">
      <c r="A41" t="s">
        <v>38</v>
      </c>
      <c r="B41" t="s">
        <v>101</v>
      </c>
      <c r="C41">
        <v>0</v>
      </c>
    </row>
    <row r="42" spans="1:5">
      <c r="A42" t="s">
        <v>38</v>
      </c>
      <c r="B42" t="s">
        <v>18</v>
      </c>
      <c r="C42">
        <v>4568</v>
      </c>
    </row>
    <row r="43" spans="1:5">
      <c r="A43" t="s">
        <v>38</v>
      </c>
      <c r="B43" t="s">
        <v>19</v>
      </c>
      <c r="C43">
        <v>6</v>
      </c>
    </row>
    <row r="44" spans="1:5">
      <c r="A44" t="s">
        <v>38</v>
      </c>
      <c r="B44" t="s">
        <v>17</v>
      </c>
      <c r="C44">
        <v>711</v>
      </c>
    </row>
    <row r="45" spans="1:5">
      <c r="A45" t="s">
        <v>49</v>
      </c>
      <c r="B45" t="s">
        <v>16</v>
      </c>
      <c r="C45">
        <v>114</v>
      </c>
    </row>
    <row r="46" spans="1:5">
      <c r="A46" t="s">
        <v>49</v>
      </c>
      <c r="B46" t="s">
        <v>142</v>
      </c>
      <c r="C46">
        <v>217</v>
      </c>
    </row>
    <row r="47" spans="1:5">
      <c r="A47" t="s">
        <v>49</v>
      </c>
      <c r="B47" t="s">
        <v>9</v>
      </c>
      <c r="C47">
        <v>708.80000000000007</v>
      </c>
    </row>
    <row r="48" spans="1:5">
      <c r="A48" t="s">
        <v>49</v>
      </c>
      <c r="B48" t="s">
        <v>13</v>
      </c>
      <c r="C48">
        <v>10</v>
      </c>
    </row>
    <row r="49" spans="1:3">
      <c r="A49" t="s">
        <v>49</v>
      </c>
      <c r="B49" t="s">
        <v>14</v>
      </c>
      <c r="C49">
        <v>1446</v>
      </c>
    </row>
    <row r="50" spans="1:3">
      <c r="A50" t="s">
        <v>49</v>
      </c>
      <c r="B50" t="s">
        <v>15</v>
      </c>
      <c r="C50">
        <v>428</v>
      </c>
    </row>
    <row r="51" spans="1:3">
      <c r="A51" t="s">
        <v>49</v>
      </c>
      <c r="B51" t="s">
        <v>101</v>
      </c>
      <c r="C51">
        <v>45</v>
      </c>
    </row>
    <row r="52" spans="1:3">
      <c r="A52" t="s">
        <v>49</v>
      </c>
      <c r="B52" t="s">
        <v>18</v>
      </c>
      <c r="C52">
        <v>292</v>
      </c>
    </row>
    <row r="53" spans="1:3">
      <c r="A53" t="s">
        <v>49</v>
      </c>
      <c r="B53" t="s">
        <v>19</v>
      </c>
      <c r="C53">
        <v>6</v>
      </c>
    </row>
    <row r="54" spans="1:3">
      <c r="A54" t="s">
        <v>49</v>
      </c>
      <c r="B54" t="s">
        <v>17</v>
      </c>
      <c r="C54">
        <v>1209</v>
      </c>
    </row>
    <row r="55" spans="1:3">
      <c r="A55" t="s">
        <v>40</v>
      </c>
      <c r="B55" t="s">
        <v>16</v>
      </c>
      <c r="C55">
        <v>410</v>
      </c>
    </row>
    <row r="56" spans="1:3">
      <c r="A56" t="s">
        <v>40</v>
      </c>
      <c r="B56" t="s">
        <v>142</v>
      </c>
      <c r="C56">
        <v>1200</v>
      </c>
    </row>
    <row r="57" spans="1:3">
      <c r="A57" t="s">
        <v>40</v>
      </c>
      <c r="B57" t="s">
        <v>9</v>
      </c>
      <c r="C57">
        <v>992</v>
      </c>
    </row>
    <row r="58" spans="1:3">
      <c r="A58" t="s">
        <v>40</v>
      </c>
      <c r="B58" t="s">
        <v>13</v>
      </c>
      <c r="C58">
        <v>0</v>
      </c>
    </row>
    <row r="59" spans="1:3">
      <c r="A59" t="s">
        <v>40</v>
      </c>
      <c r="B59" t="s">
        <v>14</v>
      </c>
      <c r="C59">
        <v>766</v>
      </c>
    </row>
    <row r="60" spans="1:3">
      <c r="A60" t="s">
        <v>40</v>
      </c>
      <c r="B60" t="s">
        <v>15</v>
      </c>
      <c r="C60">
        <v>340</v>
      </c>
    </row>
    <row r="61" spans="1:3">
      <c r="A61" t="s">
        <v>40</v>
      </c>
      <c r="B61" t="s">
        <v>5</v>
      </c>
      <c r="C61">
        <v>7200</v>
      </c>
    </row>
    <row r="62" spans="1:3">
      <c r="A62" t="s">
        <v>40</v>
      </c>
      <c r="B62" t="s">
        <v>11</v>
      </c>
      <c r="C62">
        <v>4040</v>
      </c>
    </row>
    <row r="63" spans="1:3">
      <c r="A63" t="s">
        <v>40</v>
      </c>
      <c r="B63" t="s">
        <v>101</v>
      </c>
      <c r="C63">
        <v>0</v>
      </c>
    </row>
    <row r="64" spans="1:3">
      <c r="A64" t="s">
        <v>40</v>
      </c>
      <c r="B64" t="s">
        <v>18</v>
      </c>
      <c r="C64">
        <v>3548</v>
      </c>
    </row>
    <row r="65" spans="1:3">
      <c r="A65" t="s">
        <v>40</v>
      </c>
      <c r="B65" t="s">
        <v>19</v>
      </c>
      <c r="C65">
        <v>100</v>
      </c>
    </row>
    <row r="66" spans="1:3">
      <c r="A66" t="s">
        <v>40</v>
      </c>
      <c r="B66" t="s">
        <v>17</v>
      </c>
      <c r="C66">
        <v>342</v>
      </c>
    </row>
    <row r="67" spans="1:3">
      <c r="A67" t="s">
        <v>42</v>
      </c>
      <c r="B67" t="s">
        <v>16</v>
      </c>
      <c r="C67">
        <v>1870</v>
      </c>
    </row>
    <row r="68" spans="1:3">
      <c r="A68" t="s">
        <v>42</v>
      </c>
      <c r="B68" t="s">
        <v>142</v>
      </c>
      <c r="C68">
        <v>3165</v>
      </c>
    </row>
    <row r="69" spans="1:3">
      <c r="A69" t="s">
        <v>42</v>
      </c>
      <c r="B69" t="s">
        <v>9</v>
      </c>
      <c r="C69">
        <v>1296.8000000000002</v>
      </c>
    </row>
    <row r="70" spans="1:3">
      <c r="A70" t="s">
        <v>42</v>
      </c>
      <c r="B70" t="s">
        <v>15</v>
      </c>
      <c r="C70">
        <v>7</v>
      </c>
    </row>
    <row r="71" spans="1:3">
      <c r="A71" t="s">
        <v>42</v>
      </c>
      <c r="B71" t="s">
        <v>11</v>
      </c>
      <c r="C71">
        <v>0</v>
      </c>
    </row>
    <row r="72" spans="1:3">
      <c r="A72" t="s">
        <v>42</v>
      </c>
      <c r="B72" t="s">
        <v>101</v>
      </c>
      <c r="C72">
        <v>0</v>
      </c>
    </row>
    <row r="73" spans="1:3">
      <c r="A73" t="s">
        <v>42</v>
      </c>
      <c r="B73" t="s">
        <v>18</v>
      </c>
      <c r="C73">
        <v>812</v>
      </c>
    </row>
    <row r="74" spans="1:3">
      <c r="A74" t="s">
        <v>42</v>
      </c>
      <c r="B74" t="s">
        <v>19</v>
      </c>
      <c r="C74">
        <v>384</v>
      </c>
    </row>
    <row r="75" spans="1:3">
      <c r="A75" t="s">
        <v>42</v>
      </c>
      <c r="B75" t="s">
        <v>115</v>
      </c>
      <c r="C75">
        <v>0</v>
      </c>
    </row>
    <row r="76" spans="1:3">
      <c r="A76" t="s">
        <v>42</v>
      </c>
      <c r="B76" t="s">
        <v>114</v>
      </c>
      <c r="C76">
        <v>2646</v>
      </c>
    </row>
    <row r="77" spans="1:3">
      <c r="A77" t="s">
        <v>42</v>
      </c>
      <c r="B77" t="s">
        <v>17</v>
      </c>
      <c r="C77">
        <v>4860</v>
      </c>
    </row>
    <row r="78" spans="1:3">
      <c r="A78" t="s">
        <v>118</v>
      </c>
      <c r="B78" t="s">
        <v>115</v>
      </c>
      <c r="C78">
        <v>0</v>
      </c>
    </row>
    <row r="79" spans="1:3">
      <c r="A79" t="s">
        <v>118</v>
      </c>
      <c r="B79" t="s">
        <v>114</v>
      </c>
      <c r="C79">
        <v>0</v>
      </c>
    </row>
    <row r="80" spans="1:3">
      <c r="A80" t="s">
        <v>122</v>
      </c>
      <c r="B80" t="s">
        <v>115</v>
      </c>
      <c r="C80">
        <v>0</v>
      </c>
    </row>
    <row r="81" spans="1:3">
      <c r="A81" t="s">
        <v>122</v>
      </c>
      <c r="B81" t="s">
        <v>114</v>
      </c>
      <c r="C81">
        <v>714</v>
      </c>
    </row>
    <row r="82" spans="1:3">
      <c r="A82" t="s">
        <v>43</v>
      </c>
      <c r="B82" t="s">
        <v>16</v>
      </c>
      <c r="C82">
        <v>150.30000000000001</v>
      </c>
    </row>
    <row r="83" spans="1:3">
      <c r="A83" t="s">
        <v>43</v>
      </c>
      <c r="B83" t="s">
        <v>9</v>
      </c>
      <c r="C83">
        <v>12.240000000000002</v>
      </c>
    </row>
    <row r="84" spans="1:3">
      <c r="A84" t="s">
        <v>43</v>
      </c>
      <c r="B84" t="s">
        <v>15</v>
      </c>
      <c r="C84">
        <v>8</v>
      </c>
    </row>
    <row r="85" spans="1:3">
      <c r="A85" t="s">
        <v>43</v>
      </c>
      <c r="B85" t="s">
        <v>5</v>
      </c>
      <c r="C85">
        <v>0</v>
      </c>
    </row>
    <row r="86" spans="1:3">
      <c r="A86" t="s">
        <v>43</v>
      </c>
      <c r="B86" t="s">
        <v>11</v>
      </c>
      <c r="C86">
        <v>0</v>
      </c>
    </row>
    <row r="87" spans="1:3">
      <c r="A87" t="s">
        <v>43</v>
      </c>
      <c r="B87" t="s">
        <v>101</v>
      </c>
      <c r="C87">
        <v>1330</v>
      </c>
    </row>
    <row r="88" spans="1:3">
      <c r="A88" t="s">
        <v>43</v>
      </c>
      <c r="B88" t="s">
        <v>18</v>
      </c>
      <c r="C88">
        <v>812</v>
      </c>
    </row>
    <row r="89" spans="1:3">
      <c r="A89" t="s">
        <v>43</v>
      </c>
      <c r="B89" t="s">
        <v>19</v>
      </c>
      <c r="C89">
        <v>17</v>
      </c>
    </row>
    <row r="90" spans="1:3">
      <c r="A90" t="s">
        <v>43</v>
      </c>
      <c r="B90" t="s">
        <v>17</v>
      </c>
      <c r="C90">
        <v>447</v>
      </c>
    </row>
    <row r="91" spans="1:3">
      <c r="A91" t="s">
        <v>45</v>
      </c>
      <c r="B91" t="s">
        <v>16</v>
      </c>
      <c r="C91">
        <v>1695</v>
      </c>
    </row>
    <row r="92" spans="1:3">
      <c r="A92" t="s">
        <v>45</v>
      </c>
      <c r="B92" t="s">
        <v>142</v>
      </c>
      <c r="C92">
        <v>1410</v>
      </c>
    </row>
    <row r="93" spans="1:3">
      <c r="A93" t="s">
        <v>45</v>
      </c>
      <c r="B93" t="s">
        <v>9</v>
      </c>
      <c r="C93">
        <v>1393.6000000000001</v>
      </c>
    </row>
    <row r="94" spans="1:3">
      <c r="A94" t="s">
        <v>45</v>
      </c>
      <c r="B94" t="s">
        <v>15</v>
      </c>
      <c r="C94">
        <v>3173</v>
      </c>
    </row>
    <row r="95" spans="1:3">
      <c r="A95" t="s">
        <v>45</v>
      </c>
      <c r="B95" t="s">
        <v>11</v>
      </c>
      <c r="C95">
        <v>4364</v>
      </c>
    </row>
    <row r="96" spans="1:3">
      <c r="A96" t="s">
        <v>45</v>
      </c>
      <c r="B96" t="s">
        <v>101</v>
      </c>
      <c r="C96">
        <v>1051</v>
      </c>
    </row>
    <row r="97" spans="1:3">
      <c r="A97" t="s">
        <v>45</v>
      </c>
      <c r="B97" t="s">
        <v>18</v>
      </c>
      <c r="C97">
        <v>27</v>
      </c>
    </row>
    <row r="98" spans="1:3">
      <c r="A98" t="s">
        <v>45</v>
      </c>
      <c r="B98" t="s">
        <v>19</v>
      </c>
      <c r="C98">
        <v>87</v>
      </c>
    </row>
    <row r="99" spans="1:3">
      <c r="A99" t="s">
        <v>45</v>
      </c>
      <c r="B99" t="s">
        <v>12</v>
      </c>
      <c r="C99">
        <v>0</v>
      </c>
    </row>
    <row r="100" spans="1:3">
      <c r="A100" t="s">
        <v>45</v>
      </c>
      <c r="B100" t="s">
        <v>115</v>
      </c>
      <c r="C100">
        <v>0</v>
      </c>
    </row>
    <row r="101" spans="1:3">
      <c r="A101" t="s">
        <v>45</v>
      </c>
      <c r="B101" t="s">
        <v>17</v>
      </c>
      <c r="C101">
        <v>6618</v>
      </c>
    </row>
    <row r="102" spans="1:3">
      <c r="A102" t="s">
        <v>117</v>
      </c>
      <c r="B102" t="s">
        <v>115</v>
      </c>
      <c r="C102">
        <v>0</v>
      </c>
    </row>
    <row r="103" spans="1:3">
      <c r="A103" t="s">
        <v>117</v>
      </c>
      <c r="B103" t="s">
        <v>114</v>
      </c>
      <c r="C103">
        <f>448+1140</f>
        <v>1588</v>
      </c>
    </row>
    <row r="104" spans="1:3">
      <c r="A104" t="s">
        <v>46</v>
      </c>
      <c r="B104" t="s">
        <v>16</v>
      </c>
      <c r="C104">
        <v>1402.71</v>
      </c>
    </row>
    <row r="105" spans="1:3">
      <c r="A105" t="s">
        <v>46</v>
      </c>
      <c r="B105" t="s">
        <v>142</v>
      </c>
      <c r="C105">
        <v>1812.46</v>
      </c>
    </row>
    <row r="106" spans="1:3">
      <c r="A106" t="s">
        <v>46</v>
      </c>
      <c r="B106" t="s">
        <v>9</v>
      </c>
      <c r="C106">
        <v>10506.632000000001</v>
      </c>
    </row>
    <row r="107" spans="1:3">
      <c r="A107" t="s">
        <v>46</v>
      </c>
      <c r="B107" t="s">
        <v>13</v>
      </c>
      <c r="C107">
        <v>1.85</v>
      </c>
    </row>
    <row r="108" spans="1:3">
      <c r="A108" t="s">
        <v>46</v>
      </c>
      <c r="B108" t="s">
        <v>14</v>
      </c>
      <c r="C108">
        <v>8787.34</v>
      </c>
    </row>
    <row r="109" spans="1:3">
      <c r="A109" t="s">
        <v>46</v>
      </c>
      <c r="B109" t="s">
        <v>15</v>
      </c>
      <c r="C109">
        <v>11598.12</v>
      </c>
    </row>
    <row r="110" spans="1:3">
      <c r="A110" t="s">
        <v>46</v>
      </c>
      <c r="B110" t="s">
        <v>11</v>
      </c>
      <c r="C110">
        <v>61370</v>
      </c>
    </row>
    <row r="111" spans="1:3">
      <c r="A111" t="s">
        <v>46</v>
      </c>
      <c r="B111" t="s">
        <v>101</v>
      </c>
      <c r="C111">
        <v>3042.47</v>
      </c>
    </row>
    <row r="112" spans="1:3">
      <c r="A112" t="s">
        <v>46</v>
      </c>
      <c r="B112" t="s">
        <v>18</v>
      </c>
      <c r="C112">
        <v>17419.3</v>
      </c>
    </row>
    <row r="113" spans="1:5">
      <c r="A113" t="s">
        <v>46</v>
      </c>
      <c r="B113" t="s">
        <v>19</v>
      </c>
      <c r="C113">
        <v>967.67</v>
      </c>
    </row>
    <row r="114" spans="1:5">
      <c r="A114" t="s">
        <v>46</v>
      </c>
      <c r="B114" t="s">
        <v>12</v>
      </c>
      <c r="C114">
        <v>243.09</v>
      </c>
    </row>
    <row r="115" spans="1:5">
      <c r="A115" s="8" t="s">
        <v>46</v>
      </c>
      <c r="B115" s="8" t="s">
        <v>115</v>
      </c>
      <c r="C115" s="9">
        <v>0</v>
      </c>
    </row>
    <row r="116" spans="1:5">
      <c r="A116" s="41" t="s">
        <v>46</v>
      </c>
      <c r="B116" t="s">
        <v>114</v>
      </c>
      <c r="C116" s="4">
        <v>1483</v>
      </c>
    </row>
    <row r="117" spans="1:5">
      <c r="A117" t="s">
        <v>46</v>
      </c>
      <c r="B117" t="s">
        <v>17</v>
      </c>
      <c r="C117">
        <v>22134.06</v>
      </c>
    </row>
    <row r="118" spans="1:5">
      <c r="A118" t="s">
        <v>41</v>
      </c>
      <c r="B118" t="s">
        <v>16</v>
      </c>
      <c r="C118">
        <v>8576.5400000000009</v>
      </c>
    </row>
    <row r="119" spans="1:5">
      <c r="A119" t="s">
        <v>41</v>
      </c>
      <c r="B119" t="s">
        <v>142</v>
      </c>
      <c r="C119">
        <v>18411</v>
      </c>
    </row>
    <row r="120" spans="1:5">
      <c r="A120" t="s">
        <v>41</v>
      </c>
      <c r="B120" t="s">
        <v>9</v>
      </c>
      <c r="C120">
        <v>29004</v>
      </c>
    </row>
    <row r="121" spans="1:5">
      <c r="A121" t="s">
        <v>41</v>
      </c>
      <c r="B121" t="s">
        <v>13</v>
      </c>
      <c r="C121">
        <v>54</v>
      </c>
    </row>
    <row r="122" spans="1:5">
      <c r="A122" t="s">
        <v>41</v>
      </c>
      <c r="B122" t="s">
        <v>14</v>
      </c>
      <c r="C122">
        <v>1381</v>
      </c>
    </row>
    <row r="123" spans="1:5">
      <c r="A123" t="s">
        <v>41</v>
      </c>
      <c r="B123" t="s">
        <v>15</v>
      </c>
      <c r="C123">
        <v>3730.8</v>
      </c>
    </row>
    <row r="124" spans="1:5">
      <c r="A124" t="s">
        <v>41</v>
      </c>
      <c r="B124" t="s">
        <v>5</v>
      </c>
      <c r="C124">
        <v>18363</v>
      </c>
    </row>
    <row r="125" spans="1:5">
      <c r="A125" t="s">
        <v>41</v>
      </c>
      <c r="B125" t="s">
        <v>11</v>
      </c>
      <c r="C125">
        <v>0</v>
      </c>
      <c r="E125" s="41"/>
    </row>
    <row r="126" spans="1:5">
      <c r="A126" t="s">
        <v>41</v>
      </c>
      <c r="B126" t="s">
        <v>101</v>
      </c>
      <c r="C126">
        <v>4118</v>
      </c>
    </row>
    <row r="127" spans="1:5">
      <c r="A127" t="s">
        <v>41</v>
      </c>
      <c r="B127" t="s">
        <v>18</v>
      </c>
      <c r="C127">
        <v>76600.56</v>
      </c>
    </row>
    <row r="128" spans="1:5">
      <c r="A128" t="s">
        <v>41</v>
      </c>
      <c r="B128" t="s">
        <v>19</v>
      </c>
      <c r="C128">
        <v>1808</v>
      </c>
    </row>
    <row r="129" spans="1:3">
      <c r="A129" s="42" t="s">
        <v>41</v>
      </c>
      <c r="B129" s="42" t="s">
        <v>115</v>
      </c>
      <c r="C129" s="42">
        <v>0</v>
      </c>
    </row>
    <row r="130" spans="1:3">
      <c r="A130" t="s">
        <v>41</v>
      </c>
      <c r="B130" t="s">
        <v>114</v>
      </c>
      <c r="C130">
        <v>6174.8</v>
      </c>
    </row>
    <row r="131" spans="1:3">
      <c r="A131" t="s">
        <v>41</v>
      </c>
      <c r="B131" t="s">
        <v>17</v>
      </c>
      <c r="C131">
        <v>59840.62</v>
      </c>
    </row>
    <row r="132" spans="1:3">
      <c r="A132" t="s">
        <v>47</v>
      </c>
      <c r="B132" t="s">
        <v>16</v>
      </c>
      <c r="C132" s="1">
        <v>6696</v>
      </c>
    </row>
    <row r="133" spans="1:3">
      <c r="A133" t="s">
        <v>47</v>
      </c>
      <c r="B133" t="s">
        <v>142</v>
      </c>
      <c r="C133">
        <v>7</v>
      </c>
    </row>
    <row r="134" spans="1:3">
      <c r="A134" t="s">
        <v>47</v>
      </c>
      <c r="B134" t="s">
        <v>9</v>
      </c>
      <c r="C134">
        <v>31319</v>
      </c>
    </row>
    <row r="135" spans="1:3">
      <c r="A135" t="s">
        <v>47</v>
      </c>
      <c r="B135" t="s">
        <v>14</v>
      </c>
      <c r="C135">
        <v>0</v>
      </c>
    </row>
    <row r="136" spans="1:3">
      <c r="A136" t="s">
        <v>47</v>
      </c>
      <c r="B136" t="s">
        <v>15</v>
      </c>
      <c r="C136">
        <v>1892</v>
      </c>
    </row>
    <row r="137" spans="1:3">
      <c r="A137" t="s">
        <v>47</v>
      </c>
      <c r="B137" t="s">
        <v>11</v>
      </c>
      <c r="C137">
        <v>5883</v>
      </c>
    </row>
    <row r="138" spans="1:3">
      <c r="A138" t="s">
        <v>47</v>
      </c>
      <c r="B138" t="s">
        <v>101</v>
      </c>
      <c r="C138">
        <v>0</v>
      </c>
    </row>
    <row r="139" spans="1:3">
      <c r="A139" t="s">
        <v>47</v>
      </c>
      <c r="B139" t="s">
        <v>18</v>
      </c>
      <c r="C139">
        <v>6700</v>
      </c>
    </row>
    <row r="140" spans="1:3">
      <c r="A140" t="s">
        <v>47</v>
      </c>
      <c r="B140" t="s">
        <v>19</v>
      </c>
      <c r="C140">
        <v>710</v>
      </c>
    </row>
    <row r="141" spans="1:3">
      <c r="A141" t="s">
        <v>47</v>
      </c>
      <c r="B141" t="s">
        <v>12</v>
      </c>
      <c r="C141">
        <v>8</v>
      </c>
    </row>
    <row r="142" spans="1:3">
      <c r="A142" s="8" t="s">
        <v>47</v>
      </c>
      <c r="B142" s="8" t="s">
        <v>115</v>
      </c>
      <c r="C142" s="8">
        <v>0</v>
      </c>
    </row>
    <row r="143" spans="1:3">
      <c r="A143" t="s">
        <v>47</v>
      </c>
      <c r="B143" t="s">
        <v>114</v>
      </c>
      <c r="C143">
        <v>16679</v>
      </c>
    </row>
    <row r="144" spans="1:3">
      <c r="A144" t="s">
        <v>47</v>
      </c>
      <c r="B144" t="s">
        <v>17</v>
      </c>
      <c r="C144">
        <v>16094</v>
      </c>
    </row>
    <row r="145" spans="1:3">
      <c r="A145" t="s">
        <v>48</v>
      </c>
      <c r="B145" t="s">
        <v>16</v>
      </c>
      <c r="C145">
        <v>120</v>
      </c>
    </row>
    <row r="146" spans="1:3">
      <c r="A146" t="s">
        <v>48</v>
      </c>
      <c r="B146" t="s">
        <v>9</v>
      </c>
      <c r="C146">
        <v>4824</v>
      </c>
    </row>
    <row r="147" spans="1:3">
      <c r="A147" t="s">
        <v>48</v>
      </c>
      <c r="B147" t="s">
        <v>13</v>
      </c>
      <c r="C147">
        <v>0</v>
      </c>
    </row>
    <row r="148" spans="1:3">
      <c r="A148" t="s">
        <v>48</v>
      </c>
      <c r="B148" t="s">
        <v>14</v>
      </c>
      <c r="C148">
        <v>2403</v>
      </c>
    </row>
    <row r="149" spans="1:3">
      <c r="A149" t="s">
        <v>48</v>
      </c>
      <c r="B149" t="s">
        <v>15</v>
      </c>
      <c r="C149">
        <v>327</v>
      </c>
    </row>
    <row r="150" spans="1:3">
      <c r="A150" t="s">
        <v>48</v>
      </c>
      <c r="B150" t="s">
        <v>5</v>
      </c>
      <c r="C150">
        <v>2650</v>
      </c>
    </row>
    <row r="151" spans="1:3">
      <c r="A151" t="s">
        <v>48</v>
      </c>
      <c r="B151" t="s">
        <v>11</v>
      </c>
      <c r="C151">
        <v>0</v>
      </c>
    </row>
    <row r="152" spans="1:3">
      <c r="A152" t="s">
        <v>48</v>
      </c>
      <c r="B152" t="s">
        <v>101</v>
      </c>
      <c r="C152">
        <v>424.8</v>
      </c>
    </row>
    <row r="153" spans="1:3">
      <c r="A153" t="s">
        <v>48</v>
      </c>
      <c r="B153" t="s">
        <v>18</v>
      </c>
      <c r="C153">
        <v>6700</v>
      </c>
    </row>
    <row r="154" spans="1:3">
      <c r="A154" t="s">
        <v>48</v>
      </c>
      <c r="B154" t="s">
        <v>19</v>
      </c>
      <c r="C154">
        <v>0</v>
      </c>
    </row>
    <row r="155" spans="1:3">
      <c r="A155" t="s">
        <v>48</v>
      </c>
      <c r="B155" t="s">
        <v>17</v>
      </c>
      <c r="C155">
        <v>5065</v>
      </c>
    </row>
    <row r="156" spans="1:3">
      <c r="A156" t="s">
        <v>136</v>
      </c>
      <c r="B156" t="s">
        <v>115</v>
      </c>
      <c r="C156">
        <v>0</v>
      </c>
    </row>
    <row r="157" spans="1:3">
      <c r="A157" t="s">
        <v>136</v>
      </c>
      <c r="B157" t="s">
        <v>114</v>
      </c>
      <c r="C157">
        <v>2281.1999999999998</v>
      </c>
    </row>
    <row r="158" spans="1:3">
      <c r="A158" t="s">
        <v>124</v>
      </c>
      <c r="B158" t="s">
        <v>115</v>
      </c>
      <c r="C158">
        <v>0</v>
      </c>
    </row>
    <row r="159" spans="1:3">
      <c r="A159" t="s">
        <v>124</v>
      </c>
      <c r="B159" t="s">
        <v>114</v>
      </c>
      <c r="C159">
        <v>1540</v>
      </c>
    </row>
    <row r="160" spans="1:3">
      <c r="A160" t="s">
        <v>119</v>
      </c>
      <c r="B160" t="s">
        <v>115</v>
      </c>
      <c r="C160">
        <v>0</v>
      </c>
    </row>
    <row r="161" spans="1:3">
      <c r="A161" t="s">
        <v>119</v>
      </c>
      <c r="B161" t="s">
        <v>114</v>
      </c>
      <c r="C161">
        <f>1218+1386</f>
        <v>2604</v>
      </c>
    </row>
    <row r="162" spans="1:3">
      <c r="A162" t="s">
        <v>50</v>
      </c>
      <c r="B162" t="s">
        <v>16</v>
      </c>
      <c r="C162">
        <v>313.64999999999998</v>
      </c>
    </row>
    <row r="163" spans="1:3">
      <c r="A163" t="s">
        <v>50</v>
      </c>
      <c r="B163" t="s">
        <v>142</v>
      </c>
      <c r="C163">
        <v>42.34</v>
      </c>
    </row>
    <row r="164" spans="1:3">
      <c r="A164" t="s">
        <v>50</v>
      </c>
      <c r="B164" t="s">
        <v>9</v>
      </c>
      <c r="C164">
        <v>2528.6880000000001</v>
      </c>
    </row>
    <row r="165" spans="1:3">
      <c r="A165" t="s">
        <v>50</v>
      </c>
      <c r="B165" t="s">
        <v>13</v>
      </c>
      <c r="C165">
        <v>2.7</v>
      </c>
    </row>
    <row r="166" spans="1:3">
      <c r="A166" t="s">
        <v>50</v>
      </c>
      <c r="B166" t="s">
        <v>14</v>
      </c>
      <c r="C166">
        <v>28.16</v>
      </c>
    </row>
    <row r="167" spans="1:3">
      <c r="A167" t="s">
        <v>50</v>
      </c>
      <c r="B167" t="s">
        <v>15</v>
      </c>
      <c r="C167">
        <v>33</v>
      </c>
    </row>
    <row r="168" spans="1:3">
      <c r="A168" t="s">
        <v>50</v>
      </c>
      <c r="B168" t="s">
        <v>5</v>
      </c>
      <c r="C168">
        <v>786.56</v>
      </c>
    </row>
    <row r="169" spans="1:3">
      <c r="A169" t="s">
        <v>50</v>
      </c>
      <c r="B169" t="s">
        <v>11</v>
      </c>
      <c r="C169">
        <v>1915.6</v>
      </c>
    </row>
    <row r="170" spans="1:3">
      <c r="A170" t="s">
        <v>50</v>
      </c>
      <c r="B170" t="s">
        <v>101</v>
      </c>
      <c r="C170">
        <v>424.8</v>
      </c>
    </row>
    <row r="171" spans="1:3">
      <c r="A171" t="s">
        <v>50</v>
      </c>
      <c r="B171" t="s">
        <v>18</v>
      </c>
      <c r="C171">
        <v>4029.08</v>
      </c>
    </row>
    <row r="172" spans="1:3">
      <c r="A172" t="s">
        <v>50</v>
      </c>
      <c r="B172" t="s">
        <v>19</v>
      </c>
      <c r="C172">
        <v>49.44</v>
      </c>
    </row>
    <row r="173" spans="1:3">
      <c r="A173" t="s">
        <v>50</v>
      </c>
      <c r="B173" t="s">
        <v>17</v>
      </c>
      <c r="C173">
        <v>325.08</v>
      </c>
    </row>
    <row r="174" spans="1:3">
      <c r="A174" t="s">
        <v>51</v>
      </c>
      <c r="B174" t="s">
        <v>16</v>
      </c>
      <c r="C174">
        <v>0</v>
      </c>
    </row>
    <row r="175" spans="1:3">
      <c r="A175" t="s">
        <v>51</v>
      </c>
      <c r="B175" t="s">
        <v>142</v>
      </c>
      <c r="C175">
        <v>855</v>
      </c>
    </row>
    <row r="176" spans="1:3">
      <c r="A176" t="s">
        <v>51</v>
      </c>
      <c r="B176" t="s">
        <v>9</v>
      </c>
      <c r="C176">
        <v>3412</v>
      </c>
    </row>
    <row r="177" spans="1:3">
      <c r="A177" t="s">
        <v>51</v>
      </c>
      <c r="B177" t="s">
        <v>13</v>
      </c>
      <c r="C177">
        <v>17</v>
      </c>
    </row>
    <row r="178" spans="1:3">
      <c r="A178" t="s">
        <v>51</v>
      </c>
      <c r="B178" t="s">
        <v>15</v>
      </c>
      <c r="C178">
        <v>216</v>
      </c>
    </row>
    <row r="179" spans="1:3">
      <c r="A179" t="s">
        <v>51</v>
      </c>
      <c r="B179" t="s">
        <v>5</v>
      </c>
      <c r="C179">
        <v>0</v>
      </c>
    </row>
    <row r="180" spans="1:3">
      <c r="A180" t="s">
        <v>51</v>
      </c>
      <c r="B180" t="s">
        <v>11</v>
      </c>
      <c r="C180">
        <v>0</v>
      </c>
    </row>
    <row r="181" spans="1:3">
      <c r="A181" t="s">
        <v>51</v>
      </c>
      <c r="B181" t="s">
        <v>101</v>
      </c>
      <c r="C181">
        <v>1272</v>
      </c>
    </row>
    <row r="182" spans="1:3">
      <c r="A182" t="s">
        <v>51</v>
      </c>
      <c r="B182" t="s">
        <v>18</v>
      </c>
      <c r="C182">
        <v>0</v>
      </c>
    </row>
    <row r="183" spans="1:3">
      <c r="A183" t="s">
        <v>51</v>
      </c>
      <c r="B183" t="s">
        <v>19</v>
      </c>
      <c r="C183">
        <v>0</v>
      </c>
    </row>
    <row r="184" spans="1:3">
      <c r="A184" t="s">
        <v>51</v>
      </c>
      <c r="B184" t="s">
        <v>12</v>
      </c>
      <c r="C184">
        <v>0</v>
      </c>
    </row>
    <row r="185" spans="1:3">
      <c r="A185" t="s">
        <v>51</v>
      </c>
      <c r="B185" t="s">
        <v>115</v>
      </c>
      <c r="C185">
        <v>0</v>
      </c>
    </row>
    <row r="186" spans="1:3">
      <c r="A186" t="s">
        <v>51</v>
      </c>
      <c r="B186" t="s">
        <v>114</v>
      </c>
      <c r="C186">
        <v>0</v>
      </c>
    </row>
    <row r="187" spans="1:3">
      <c r="A187" t="s">
        <v>51</v>
      </c>
      <c r="B187" t="s">
        <v>17</v>
      </c>
      <c r="C187">
        <v>1918.73</v>
      </c>
    </row>
    <row r="188" spans="1:3">
      <c r="A188" t="s">
        <v>52</v>
      </c>
      <c r="B188" t="s">
        <v>16</v>
      </c>
      <c r="C188">
        <v>1543</v>
      </c>
    </row>
    <row r="189" spans="1:3">
      <c r="A189" t="s">
        <v>52</v>
      </c>
      <c r="B189" t="s">
        <v>142</v>
      </c>
      <c r="C189">
        <v>5583</v>
      </c>
    </row>
    <row r="190" spans="1:3">
      <c r="A190" t="s">
        <v>52</v>
      </c>
      <c r="B190" t="s">
        <v>9</v>
      </c>
      <c r="C190">
        <v>36125.599999999999</v>
      </c>
    </row>
    <row r="191" spans="1:3">
      <c r="A191" t="s">
        <v>52</v>
      </c>
      <c r="B191" t="s">
        <v>13</v>
      </c>
      <c r="C191">
        <v>868</v>
      </c>
    </row>
    <row r="192" spans="1:3">
      <c r="A192" t="s">
        <v>52</v>
      </c>
      <c r="B192" t="s">
        <v>14</v>
      </c>
      <c r="C192">
        <v>4542</v>
      </c>
    </row>
    <row r="193" spans="1:3">
      <c r="A193" t="s">
        <v>52</v>
      </c>
      <c r="B193" t="s">
        <v>15</v>
      </c>
      <c r="C193">
        <v>10291</v>
      </c>
    </row>
    <row r="194" spans="1:3">
      <c r="A194" t="s">
        <v>52</v>
      </c>
      <c r="B194" t="s">
        <v>11</v>
      </c>
      <c r="C194">
        <v>0</v>
      </c>
    </row>
    <row r="195" spans="1:3">
      <c r="A195" t="s">
        <v>52</v>
      </c>
      <c r="B195" t="s">
        <v>101</v>
      </c>
      <c r="C195">
        <v>1564</v>
      </c>
    </row>
    <row r="196" spans="1:3">
      <c r="A196" t="s">
        <v>52</v>
      </c>
      <c r="B196" t="s">
        <v>18</v>
      </c>
      <c r="C196" s="6">
        <v>5927</v>
      </c>
    </row>
    <row r="197" spans="1:3">
      <c r="A197" t="s">
        <v>52</v>
      </c>
      <c r="B197" t="s">
        <v>19</v>
      </c>
      <c r="C197">
        <v>670</v>
      </c>
    </row>
    <row r="198" spans="1:3">
      <c r="A198" s="8" t="s">
        <v>52</v>
      </c>
      <c r="B198" s="8" t="s">
        <v>115</v>
      </c>
      <c r="C198" s="9">
        <v>0</v>
      </c>
    </row>
    <row r="199" spans="1:3">
      <c r="A199" s="8" t="s">
        <v>52</v>
      </c>
      <c r="B199" s="8" t="s">
        <v>114</v>
      </c>
      <c r="C199" s="9">
        <v>30</v>
      </c>
    </row>
    <row r="200" spans="1:3">
      <c r="A200" t="s">
        <v>52</v>
      </c>
      <c r="B200" t="s">
        <v>17</v>
      </c>
      <c r="C200">
        <v>11651</v>
      </c>
    </row>
    <row r="201" spans="1:3">
      <c r="A201" t="s">
        <v>55</v>
      </c>
      <c r="B201" t="s">
        <v>16</v>
      </c>
      <c r="C201">
        <v>166</v>
      </c>
    </row>
    <row r="202" spans="1:3">
      <c r="A202" t="s">
        <v>55</v>
      </c>
      <c r="B202" t="s">
        <v>9</v>
      </c>
      <c r="C202">
        <v>889.6</v>
      </c>
    </row>
    <row r="203" spans="1:3">
      <c r="A203" t="s">
        <v>55</v>
      </c>
      <c r="B203" t="s">
        <v>13</v>
      </c>
      <c r="C203">
        <v>0</v>
      </c>
    </row>
    <row r="204" spans="1:3">
      <c r="A204" t="s">
        <v>55</v>
      </c>
      <c r="B204" t="s">
        <v>15</v>
      </c>
      <c r="C204">
        <v>1588</v>
      </c>
    </row>
    <row r="205" spans="1:3">
      <c r="A205" t="s">
        <v>55</v>
      </c>
      <c r="B205" t="s">
        <v>11</v>
      </c>
      <c r="C205">
        <v>0</v>
      </c>
    </row>
    <row r="206" spans="1:3">
      <c r="A206" t="s">
        <v>55</v>
      </c>
      <c r="B206" t="s">
        <v>141</v>
      </c>
      <c r="C206">
        <v>0</v>
      </c>
    </row>
    <row r="207" spans="1:3">
      <c r="A207" t="s">
        <v>55</v>
      </c>
      <c r="B207" t="s">
        <v>18</v>
      </c>
      <c r="C207">
        <v>303</v>
      </c>
    </row>
    <row r="208" spans="1:3">
      <c r="A208" t="s">
        <v>55</v>
      </c>
      <c r="B208" t="s">
        <v>19</v>
      </c>
      <c r="C208">
        <v>0</v>
      </c>
    </row>
    <row r="209" spans="1:3">
      <c r="A209" t="s">
        <v>55</v>
      </c>
      <c r="B209" t="s">
        <v>17</v>
      </c>
      <c r="C209">
        <v>136</v>
      </c>
    </row>
    <row r="210" spans="1:3">
      <c r="A210" t="s">
        <v>53</v>
      </c>
      <c r="B210" t="s">
        <v>16</v>
      </c>
      <c r="C210">
        <v>196</v>
      </c>
    </row>
    <row r="211" spans="1:3">
      <c r="A211" t="s">
        <v>53</v>
      </c>
      <c r="B211" t="s">
        <v>9</v>
      </c>
      <c r="C211">
        <v>1202.4000000000001</v>
      </c>
    </row>
    <row r="212" spans="1:3">
      <c r="A212" t="s">
        <v>53</v>
      </c>
      <c r="B212" t="s">
        <v>15</v>
      </c>
      <c r="C212">
        <v>129</v>
      </c>
    </row>
    <row r="213" spans="1:3">
      <c r="A213" t="s">
        <v>53</v>
      </c>
      <c r="B213" t="s">
        <v>11</v>
      </c>
      <c r="C213">
        <v>0</v>
      </c>
    </row>
    <row r="214" spans="1:3">
      <c r="A214" t="s">
        <v>53</v>
      </c>
      <c r="B214" t="s">
        <v>101</v>
      </c>
      <c r="C214">
        <v>0</v>
      </c>
    </row>
    <row r="215" spans="1:3">
      <c r="A215" t="s">
        <v>53</v>
      </c>
      <c r="B215" t="s">
        <v>18</v>
      </c>
      <c r="C215">
        <v>1165</v>
      </c>
    </row>
    <row r="216" spans="1:3">
      <c r="A216" t="s">
        <v>53</v>
      </c>
      <c r="B216" t="s">
        <v>19</v>
      </c>
      <c r="C216">
        <v>70</v>
      </c>
    </row>
    <row r="217" spans="1:3">
      <c r="A217" t="s">
        <v>53</v>
      </c>
      <c r="B217" t="s">
        <v>17</v>
      </c>
      <c r="C217">
        <v>1288</v>
      </c>
    </row>
    <row r="218" spans="1:3">
      <c r="A218" t="s">
        <v>54</v>
      </c>
      <c r="B218" t="s">
        <v>16</v>
      </c>
      <c r="C218">
        <v>83</v>
      </c>
    </row>
    <row r="219" spans="1:3">
      <c r="A219" t="s">
        <v>54</v>
      </c>
      <c r="B219" t="s">
        <v>9</v>
      </c>
      <c r="C219">
        <v>57.6</v>
      </c>
    </row>
    <row r="220" spans="1:3">
      <c r="A220" t="s">
        <v>54</v>
      </c>
      <c r="B220" t="s">
        <v>14</v>
      </c>
      <c r="C220">
        <v>11</v>
      </c>
    </row>
    <row r="221" spans="1:3">
      <c r="A221" t="s">
        <v>54</v>
      </c>
      <c r="B221" t="s">
        <v>15</v>
      </c>
      <c r="C221">
        <v>22</v>
      </c>
    </row>
    <row r="222" spans="1:3">
      <c r="A222" t="s">
        <v>54</v>
      </c>
      <c r="B222" t="s">
        <v>11</v>
      </c>
      <c r="C222">
        <v>0</v>
      </c>
    </row>
    <row r="223" spans="1:3">
      <c r="A223" t="s">
        <v>54</v>
      </c>
      <c r="B223" t="s">
        <v>101</v>
      </c>
      <c r="C223">
        <v>0</v>
      </c>
    </row>
    <row r="224" spans="1:3">
      <c r="A224" t="s">
        <v>54</v>
      </c>
      <c r="B224" t="s">
        <v>18</v>
      </c>
      <c r="C224">
        <v>415</v>
      </c>
    </row>
    <row r="225" spans="1:3">
      <c r="A225" t="s">
        <v>54</v>
      </c>
      <c r="B225" t="s">
        <v>19</v>
      </c>
      <c r="C225">
        <v>24</v>
      </c>
    </row>
    <row r="226" spans="1:3">
      <c r="A226" t="s">
        <v>54</v>
      </c>
      <c r="B226" t="s">
        <v>17</v>
      </c>
      <c r="C226">
        <v>208</v>
      </c>
    </row>
    <row r="227" spans="1:3">
      <c r="A227" t="s">
        <v>56</v>
      </c>
      <c r="B227" t="s">
        <v>16</v>
      </c>
      <c r="C227">
        <v>7</v>
      </c>
    </row>
    <row r="228" spans="1:3">
      <c r="A228" t="s">
        <v>56</v>
      </c>
      <c r="B228" t="s">
        <v>9</v>
      </c>
      <c r="C228">
        <v>200.8</v>
      </c>
    </row>
    <row r="229" spans="1:3">
      <c r="A229" t="s">
        <v>56</v>
      </c>
      <c r="B229" t="s">
        <v>14</v>
      </c>
      <c r="C229">
        <v>644</v>
      </c>
    </row>
    <row r="230" spans="1:3">
      <c r="A230" t="s">
        <v>56</v>
      </c>
      <c r="B230" t="s">
        <v>15</v>
      </c>
      <c r="C230">
        <v>0</v>
      </c>
    </row>
    <row r="231" spans="1:3">
      <c r="A231" t="s">
        <v>56</v>
      </c>
      <c r="B231" t="s">
        <v>5</v>
      </c>
      <c r="C231">
        <v>824</v>
      </c>
    </row>
    <row r="232" spans="1:3">
      <c r="A232" t="s">
        <v>56</v>
      </c>
      <c r="B232" t="s">
        <v>11</v>
      </c>
      <c r="C232">
        <v>0</v>
      </c>
    </row>
    <row r="233" spans="1:3">
      <c r="A233" t="s">
        <v>56</v>
      </c>
      <c r="B233" t="s">
        <v>101</v>
      </c>
      <c r="C233">
        <v>165</v>
      </c>
    </row>
    <row r="234" spans="1:3">
      <c r="A234" t="s">
        <v>56</v>
      </c>
      <c r="B234" t="s">
        <v>18</v>
      </c>
      <c r="C234">
        <v>0</v>
      </c>
    </row>
    <row r="235" spans="1:3">
      <c r="A235" t="s">
        <v>56</v>
      </c>
      <c r="B235" t="s">
        <v>17</v>
      </c>
      <c r="C235">
        <v>37</v>
      </c>
    </row>
    <row r="236" spans="1:3">
      <c r="A236" t="s">
        <v>116</v>
      </c>
      <c r="B236" t="s">
        <v>115</v>
      </c>
      <c r="C236">
        <v>0</v>
      </c>
    </row>
    <row r="237" spans="1:3">
      <c r="A237" t="s">
        <v>116</v>
      </c>
      <c r="B237" t="s">
        <v>114</v>
      </c>
      <c r="C237">
        <v>2420</v>
      </c>
    </row>
    <row r="238" spans="1:3">
      <c r="A238" t="s">
        <v>57</v>
      </c>
      <c r="B238" t="s">
        <v>16</v>
      </c>
      <c r="C238">
        <v>415</v>
      </c>
    </row>
    <row r="239" spans="1:3">
      <c r="A239" t="s">
        <v>57</v>
      </c>
      <c r="B239" t="s">
        <v>142</v>
      </c>
      <c r="C239">
        <v>4006</v>
      </c>
    </row>
    <row r="240" spans="1:3">
      <c r="A240" t="s">
        <v>57</v>
      </c>
      <c r="B240" t="s">
        <v>9</v>
      </c>
      <c r="C240">
        <v>14680.800000000001</v>
      </c>
    </row>
    <row r="241" spans="1:3">
      <c r="A241" t="s">
        <v>57</v>
      </c>
      <c r="B241" t="s">
        <v>15</v>
      </c>
      <c r="C241">
        <v>38</v>
      </c>
    </row>
    <row r="242" spans="1:3">
      <c r="A242" t="s">
        <v>57</v>
      </c>
      <c r="B242" t="s">
        <v>11</v>
      </c>
      <c r="C242">
        <v>486</v>
      </c>
    </row>
    <row r="243" spans="1:3">
      <c r="A243" t="s">
        <v>57</v>
      </c>
      <c r="B243" t="s">
        <v>101</v>
      </c>
      <c r="C243">
        <v>0</v>
      </c>
    </row>
    <row r="244" spans="1:3">
      <c r="A244" t="s">
        <v>57</v>
      </c>
      <c r="B244" t="s">
        <v>18</v>
      </c>
      <c r="C244">
        <v>24261</v>
      </c>
    </row>
    <row r="245" spans="1:3">
      <c r="A245" t="s">
        <v>57</v>
      </c>
      <c r="B245" t="s">
        <v>19</v>
      </c>
      <c r="C245">
        <v>786</v>
      </c>
    </row>
    <row r="246" spans="1:3">
      <c r="A246" t="s">
        <v>57</v>
      </c>
      <c r="B246" t="s">
        <v>115</v>
      </c>
      <c r="C246">
        <v>0</v>
      </c>
    </row>
    <row r="247" spans="1:3">
      <c r="A247" t="s">
        <v>57</v>
      </c>
      <c r="B247" t="s">
        <v>114</v>
      </c>
      <c r="C247">
        <v>954.5</v>
      </c>
    </row>
    <row r="248" spans="1:3">
      <c r="A248" t="s">
        <v>57</v>
      </c>
      <c r="B248" t="s">
        <v>17</v>
      </c>
      <c r="C248">
        <v>6812</v>
      </c>
    </row>
    <row r="249" spans="1:3">
      <c r="A249" t="s">
        <v>65</v>
      </c>
      <c r="B249" t="s">
        <v>16</v>
      </c>
      <c r="C249">
        <v>1.88</v>
      </c>
    </row>
    <row r="250" spans="1:3">
      <c r="A250" t="s">
        <v>65</v>
      </c>
      <c r="B250" t="s">
        <v>9</v>
      </c>
      <c r="C250">
        <v>4.4799999999999995</v>
      </c>
    </row>
    <row r="251" spans="1:3">
      <c r="A251" t="s">
        <v>65</v>
      </c>
      <c r="B251" t="s">
        <v>14</v>
      </c>
      <c r="C251">
        <v>1419.81</v>
      </c>
    </row>
    <row r="252" spans="1:3">
      <c r="A252" t="s">
        <v>65</v>
      </c>
      <c r="B252" t="s">
        <v>15</v>
      </c>
      <c r="C252">
        <v>2536</v>
      </c>
    </row>
    <row r="253" spans="1:3">
      <c r="A253" t="s">
        <v>65</v>
      </c>
      <c r="B253" t="s">
        <v>11</v>
      </c>
      <c r="C253">
        <v>0</v>
      </c>
    </row>
    <row r="254" spans="1:3">
      <c r="A254" t="s">
        <v>65</v>
      </c>
      <c r="B254" t="s">
        <v>18</v>
      </c>
      <c r="C254">
        <v>9.07</v>
      </c>
    </row>
    <row r="255" spans="1:3">
      <c r="A255" t="s">
        <v>65</v>
      </c>
      <c r="B255" t="s">
        <v>19</v>
      </c>
      <c r="C255">
        <v>31.73</v>
      </c>
    </row>
    <row r="256" spans="1:3">
      <c r="A256" t="s">
        <v>65</v>
      </c>
      <c r="B256" t="s">
        <v>17</v>
      </c>
      <c r="C256">
        <v>405.7</v>
      </c>
    </row>
    <row r="257" spans="1:3">
      <c r="A257" t="s">
        <v>66</v>
      </c>
      <c r="B257" t="s">
        <v>16</v>
      </c>
      <c r="C257">
        <v>0</v>
      </c>
    </row>
    <row r="258" spans="1:3">
      <c r="A258" t="s">
        <v>66</v>
      </c>
      <c r="B258" t="s">
        <v>9</v>
      </c>
      <c r="C258">
        <v>18.16</v>
      </c>
    </row>
    <row r="259" spans="1:3">
      <c r="A259" t="s">
        <v>66</v>
      </c>
      <c r="B259" t="s">
        <v>14</v>
      </c>
      <c r="C259">
        <v>9816.2999999999993</v>
      </c>
    </row>
    <row r="260" spans="1:3">
      <c r="A260" t="s">
        <v>66</v>
      </c>
      <c r="B260" t="s">
        <v>15</v>
      </c>
      <c r="C260">
        <v>1409.18</v>
      </c>
    </row>
    <row r="261" spans="1:3">
      <c r="A261" t="s">
        <v>66</v>
      </c>
      <c r="B261" t="s">
        <v>11</v>
      </c>
      <c r="C261">
        <v>0</v>
      </c>
    </row>
    <row r="262" spans="1:3">
      <c r="A262" t="s">
        <v>66</v>
      </c>
      <c r="B262" t="s">
        <v>18</v>
      </c>
      <c r="C262">
        <v>0</v>
      </c>
    </row>
    <row r="263" spans="1:3">
      <c r="A263" t="s">
        <v>66</v>
      </c>
      <c r="B263" t="s">
        <v>19</v>
      </c>
      <c r="C263">
        <v>21.87</v>
      </c>
    </row>
    <row r="264" spans="1:3">
      <c r="A264" t="s">
        <v>66</v>
      </c>
      <c r="B264" t="s">
        <v>115</v>
      </c>
      <c r="C264">
        <v>0</v>
      </c>
    </row>
    <row r="265" spans="1:3">
      <c r="A265" t="s">
        <v>66</v>
      </c>
      <c r="B265" t="s">
        <v>17</v>
      </c>
      <c r="C265">
        <v>1447.35</v>
      </c>
    </row>
    <row r="266" spans="1:3">
      <c r="A266" t="s">
        <v>67</v>
      </c>
      <c r="B266" t="s">
        <v>16</v>
      </c>
      <c r="C266">
        <v>12.5</v>
      </c>
    </row>
    <row r="267" spans="1:3">
      <c r="A267" t="s">
        <v>67</v>
      </c>
      <c r="B267" t="s">
        <v>9</v>
      </c>
      <c r="C267">
        <v>0</v>
      </c>
    </row>
    <row r="268" spans="1:3">
      <c r="A268" t="s">
        <v>67</v>
      </c>
      <c r="B268" t="s">
        <v>14</v>
      </c>
      <c r="C268">
        <v>3415.56</v>
      </c>
    </row>
    <row r="269" spans="1:3">
      <c r="A269" t="s">
        <v>67</v>
      </c>
      <c r="B269" t="s">
        <v>15</v>
      </c>
      <c r="C269">
        <v>1399.44</v>
      </c>
    </row>
    <row r="270" spans="1:3">
      <c r="A270" t="s">
        <v>67</v>
      </c>
      <c r="B270" t="s">
        <v>11</v>
      </c>
      <c r="C270">
        <v>0</v>
      </c>
    </row>
    <row r="271" spans="1:3">
      <c r="A271" t="s">
        <v>67</v>
      </c>
      <c r="B271" t="s">
        <v>18</v>
      </c>
      <c r="C271">
        <v>0</v>
      </c>
    </row>
    <row r="272" spans="1:3">
      <c r="A272" t="s">
        <v>67</v>
      </c>
      <c r="B272" t="s">
        <v>19</v>
      </c>
      <c r="C272">
        <v>6.34</v>
      </c>
    </row>
    <row r="273" spans="1:3">
      <c r="A273" t="s">
        <v>67</v>
      </c>
      <c r="B273" t="s">
        <v>115</v>
      </c>
      <c r="C273">
        <v>0</v>
      </c>
    </row>
    <row r="274" spans="1:3">
      <c r="A274" t="s">
        <v>67</v>
      </c>
      <c r="B274" t="s">
        <v>17</v>
      </c>
      <c r="C274">
        <v>2120</v>
      </c>
    </row>
    <row r="275" spans="1:3">
      <c r="A275" t="s">
        <v>68</v>
      </c>
      <c r="B275" t="s">
        <v>16</v>
      </c>
      <c r="C275">
        <v>0</v>
      </c>
    </row>
    <row r="276" spans="1:3">
      <c r="A276" t="s">
        <v>68</v>
      </c>
      <c r="B276" t="s">
        <v>9</v>
      </c>
      <c r="C276">
        <v>201.952</v>
      </c>
    </row>
    <row r="277" spans="1:3">
      <c r="A277" t="s">
        <v>68</v>
      </c>
      <c r="B277" t="s">
        <v>14</v>
      </c>
      <c r="C277">
        <v>4906.57</v>
      </c>
    </row>
    <row r="278" spans="1:3">
      <c r="A278" t="s">
        <v>68</v>
      </c>
      <c r="B278" t="s">
        <v>15</v>
      </c>
      <c r="C278">
        <v>686.65</v>
      </c>
    </row>
    <row r="279" spans="1:3">
      <c r="A279" t="s">
        <v>68</v>
      </c>
      <c r="B279" t="s">
        <v>11</v>
      </c>
      <c r="C279">
        <v>0</v>
      </c>
    </row>
    <row r="280" spans="1:3">
      <c r="A280" t="s">
        <v>68</v>
      </c>
      <c r="B280" t="s">
        <v>18</v>
      </c>
      <c r="C280">
        <v>0</v>
      </c>
    </row>
    <row r="281" spans="1:3">
      <c r="A281" t="s">
        <v>68</v>
      </c>
      <c r="B281" t="s">
        <v>19</v>
      </c>
      <c r="C281">
        <v>0</v>
      </c>
    </row>
    <row r="282" spans="1:3">
      <c r="A282" t="s">
        <v>68</v>
      </c>
      <c r="B282" t="s">
        <v>115</v>
      </c>
      <c r="C282">
        <v>0</v>
      </c>
    </row>
    <row r="283" spans="1:3">
      <c r="A283" t="s">
        <v>68</v>
      </c>
      <c r="B283" t="s">
        <v>17</v>
      </c>
      <c r="C283">
        <v>1159.95</v>
      </c>
    </row>
    <row r="284" spans="1:3">
      <c r="A284" t="s">
        <v>69</v>
      </c>
      <c r="B284" t="s">
        <v>16</v>
      </c>
      <c r="C284">
        <v>0</v>
      </c>
    </row>
    <row r="285" spans="1:3">
      <c r="A285" t="s">
        <v>69</v>
      </c>
      <c r="B285" t="s">
        <v>9</v>
      </c>
      <c r="C285">
        <v>153.76</v>
      </c>
    </row>
    <row r="286" spans="1:3">
      <c r="A286" t="s">
        <v>69</v>
      </c>
      <c r="B286" t="s">
        <v>14</v>
      </c>
      <c r="C286">
        <v>7101.92</v>
      </c>
    </row>
    <row r="287" spans="1:3">
      <c r="A287" t="s">
        <v>69</v>
      </c>
      <c r="B287" t="s">
        <v>15</v>
      </c>
      <c r="C287">
        <v>844.22</v>
      </c>
    </row>
    <row r="288" spans="1:3">
      <c r="A288" t="s">
        <v>69</v>
      </c>
      <c r="B288" t="s">
        <v>11</v>
      </c>
      <c r="C288">
        <v>0</v>
      </c>
    </row>
    <row r="289" spans="1:3">
      <c r="A289" t="s">
        <v>69</v>
      </c>
      <c r="B289" t="s">
        <v>18</v>
      </c>
      <c r="C289">
        <v>0</v>
      </c>
    </row>
    <row r="290" spans="1:3">
      <c r="A290" t="s">
        <v>69</v>
      </c>
      <c r="B290" t="s">
        <v>19</v>
      </c>
      <c r="C290">
        <v>32.020000000000003</v>
      </c>
    </row>
    <row r="291" spans="1:3">
      <c r="A291" t="s">
        <v>69</v>
      </c>
      <c r="B291" t="s">
        <v>115</v>
      </c>
      <c r="C291">
        <v>0</v>
      </c>
    </row>
    <row r="292" spans="1:3">
      <c r="A292" t="s">
        <v>69</v>
      </c>
      <c r="B292" t="s">
        <v>17</v>
      </c>
      <c r="C292">
        <v>0</v>
      </c>
    </row>
    <row r="293" spans="1:3">
      <c r="A293" t="s">
        <v>133</v>
      </c>
      <c r="B293" t="s">
        <v>115</v>
      </c>
      <c r="C293">
        <v>0</v>
      </c>
    </row>
    <row r="294" spans="1:3">
      <c r="A294" t="s">
        <v>133</v>
      </c>
      <c r="B294" t="s">
        <v>114</v>
      </c>
      <c r="C294">
        <v>0</v>
      </c>
    </row>
    <row r="295" spans="1:3">
      <c r="A295" t="s">
        <v>121</v>
      </c>
      <c r="B295" t="s">
        <v>115</v>
      </c>
      <c r="C295">
        <v>0</v>
      </c>
    </row>
    <row r="296" spans="1:3">
      <c r="A296" t="s">
        <v>121</v>
      </c>
      <c r="B296" t="s">
        <v>114</v>
      </c>
      <c r="C296">
        <v>0</v>
      </c>
    </row>
    <row r="297" spans="1:3">
      <c r="A297" t="s">
        <v>120</v>
      </c>
      <c r="B297" t="s">
        <v>115</v>
      </c>
      <c r="C297">
        <v>0</v>
      </c>
    </row>
    <row r="298" spans="1:3">
      <c r="A298" t="s">
        <v>120</v>
      </c>
      <c r="B298" t="s">
        <v>114</v>
      </c>
      <c r="C298">
        <v>0</v>
      </c>
    </row>
    <row r="299" spans="1:3">
      <c r="A299" t="s">
        <v>58</v>
      </c>
      <c r="B299" t="s">
        <v>16</v>
      </c>
      <c r="C299">
        <v>662.3</v>
      </c>
    </row>
    <row r="300" spans="1:3">
      <c r="A300" t="s">
        <v>58</v>
      </c>
      <c r="B300" t="s">
        <v>142</v>
      </c>
      <c r="C300">
        <v>18830.509999999998</v>
      </c>
    </row>
    <row r="301" spans="1:3">
      <c r="A301" t="s">
        <v>58</v>
      </c>
      <c r="B301" t="s">
        <v>9</v>
      </c>
      <c r="C301">
        <v>4129.9040000000005</v>
      </c>
    </row>
    <row r="302" spans="1:3">
      <c r="A302" t="s">
        <v>58</v>
      </c>
      <c r="B302" t="s">
        <v>14</v>
      </c>
      <c r="C302">
        <v>467.8</v>
      </c>
    </row>
    <row r="303" spans="1:3">
      <c r="A303" t="s">
        <v>58</v>
      </c>
      <c r="B303" t="s">
        <v>15</v>
      </c>
      <c r="C303">
        <v>320.69</v>
      </c>
    </row>
    <row r="304" spans="1:3">
      <c r="A304" t="s">
        <v>58</v>
      </c>
      <c r="B304" t="s">
        <v>5</v>
      </c>
      <c r="C304">
        <v>7557</v>
      </c>
    </row>
    <row r="305" spans="1:3">
      <c r="A305" t="s">
        <v>58</v>
      </c>
      <c r="B305" t="s">
        <v>11</v>
      </c>
      <c r="C305">
        <v>0</v>
      </c>
    </row>
    <row r="306" spans="1:3">
      <c r="A306" t="s">
        <v>58</v>
      </c>
      <c r="B306" t="s">
        <v>101</v>
      </c>
      <c r="C306">
        <v>392.54</v>
      </c>
    </row>
    <row r="307" spans="1:3">
      <c r="A307" t="s">
        <v>58</v>
      </c>
      <c r="B307" t="s">
        <v>18</v>
      </c>
      <c r="C307">
        <v>14608.7</v>
      </c>
    </row>
    <row r="308" spans="1:3">
      <c r="A308" t="s">
        <v>58</v>
      </c>
      <c r="B308" t="s">
        <v>19</v>
      </c>
      <c r="C308">
        <v>0</v>
      </c>
    </row>
    <row r="309" spans="1:3">
      <c r="A309" t="s">
        <v>58</v>
      </c>
      <c r="B309" t="s">
        <v>17</v>
      </c>
      <c r="C309">
        <v>9582.93</v>
      </c>
    </row>
    <row r="310" spans="1:3">
      <c r="A310" t="s">
        <v>59</v>
      </c>
      <c r="B310" t="s">
        <v>16</v>
      </c>
      <c r="C310">
        <v>681</v>
      </c>
    </row>
    <row r="311" spans="1:3">
      <c r="A311" t="s">
        <v>59</v>
      </c>
      <c r="B311" t="s">
        <v>142</v>
      </c>
      <c r="C311">
        <v>0</v>
      </c>
    </row>
    <row r="312" spans="1:3">
      <c r="A312" t="s">
        <v>59</v>
      </c>
      <c r="B312" t="s">
        <v>9</v>
      </c>
      <c r="C312">
        <v>3546.16</v>
      </c>
    </row>
    <row r="313" spans="1:3">
      <c r="A313" t="s">
        <v>59</v>
      </c>
      <c r="B313" t="s">
        <v>13</v>
      </c>
      <c r="C313">
        <v>0</v>
      </c>
    </row>
    <row r="314" spans="1:3">
      <c r="A314" t="s">
        <v>59</v>
      </c>
      <c r="B314" t="s">
        <v>14</v>
      </c>
      <c r="C314">
        <v>1629</v>
      </c>
    </row>
    <row r="315" spans="1:3">
      <c r="A315" t="s">
        <v>59</v>
      </c>
      <c r="B315" t="s">
        <v>15</v>
      </c>
      <c r="C315">
        <v>2855.5</v>
      </c>
    </row>
    <row r="316" spans="1:3">
      <c r="A316" t="s">
        <v>59</v>
      </c>
      <c r="B316" t="s">
        <v>11</v>
      </c>
      <c r="C316">
        <v>0</v>
      </c>
    </row>
    <row r="317" spans="1:3">
      <c r="A317" t="s">
        <v>59</v>
      </c>
      <c r="B317" t="s">
        <v>101</v>
      </c>
      <c r="C317">
        <v>0</v>
      </c>
    </row>
    <row r="318" spans="1:3">
      <c r="A318" t="s">
        <v>59</v>
      </c>
      <c r="B318" t="s">
        <v>18</v>
      </c>
      <c r="C318">
        <v>1810.8</v>
      </c>
    </row>
    <row r="319" spans="1:3">
      <c r="A319" t="s">
        <v>59</v>
      </c>
      <c r="B319" t="s">
        <v>19</v>
      </c>
      <c r="C319">
        <v>0</v>
      </c>
    </row>
    <row r="320" spans="1:3">
      <c r="A320" t="s">
        <v>59</v>
      </c>
      <c r="B320" t="s">
        <v>12</v>
      </c>
      <c r="C320">
        <v>0</v>
      </c>
    </row>
    <row r="321" spans="1:3">
      <c r="A321" s="8" t="s">
        <v>59</v>
      </c>
      <c r="B321" s="8" t="s">
        <v>115</v>
      </c>
      <c r="C321" s="9">
        <v>0</v>
      </c>
    </row>
    <row r="322" spans="1:3">
      <c r="A322" s="8" t="s">
        <v>59</v>
      </c>
      <c r="B322" s="8" t="s">
        <v>114</v>
      </c>
      <c r="C322" s="9">
        <v>25</v>
      </c>
    </row>
    <row r="323" spans="1:3">
      <c r="A323" s="41" t="s">
        <v>59</v>
      </c>
      <c r="B323" t="s">
        <v>17</v>
      </c>
      <c r="C323">
        <v>5332.8</v>
      </c>
    </row>
    <row r="324" spans="1:3">
      <c r="A324" t="s">
        <v>60</v>
      </c>
      <c r="B324" t="s">
        <v>16</v>
      </c>
      <c r="C324">
        <v>118</v>
      </c>
    </row>
    <row r="325" spans="1:3">
      <c r="A325" t="s">
        <v>60</v>
      </c>
      <c r="B325" t="s">
        <v>142</v>
      </c>
      <c r="C325">
        <v>176</v>
      </c>
    </row>
    <row r="326" spans="1:3">
      <c r="A326" t="s">
        <v>60</v>
      </c>
      <c r="B326" t="s">
        <v>9</v>
      </c>
      <c r="C326">
        <v>1790.4</v>
      </c>
    </row>
    <row r="327" spans="1:3">
      <c r="A327" t="s">
        <v>60</v>
      </c>
      <c r="B327" t="s">
        <v>14</v>
      </c>
      <c r="C327">
        <v>3359</v>
      </c>
    </row>
    <row r="328" spans="1:3">
      <c r="A328" t="s">
        <v>60</v>
      </c>
      <c r="B328" t="s">
        <v>15</v>
      </c>
      <c r="C328">
        <v>2780</v>
      </c>
    </row>
    <row r="329" spans="1:3">
      <c r="A329" t="s">
        <v>60</v>
      </c>
      <c r="B329" t="s">
        <v>5</v>
      </c>
      <c r="C329">
        <v>1733</v>
      </c>
    </row>
    <row r="330" spans="1:3">
      <c r="A330" t="s">
        <v>60</v>
      </c>
      <c r="B330" t="s">
        <v>11</v>
      </c>
      <c r="C330">
        <v>1300</v>
      </c>
    </row>
    <row r="331" spans="1:3">
      <c r="A331" t="s">
        <v>60</v>
      </c>
      <c r="B331" t="s">
        <v>18</v>
      </c>
      <c r="C331">
        <v>1293</v>
      </c>
    </row>
    <row r="332" spans="1:3">
      <c r="A332" t="s">
        <v>60</v>
      </c>
      <c r="B332" t="s">
        <v>19</v>
      </c>
      <c r="C332">
        <v>0</v>
      </c>
    </row>
    <row r="333" spans="1:3">
      <c r="A333" t="s">
        <v>60</v>
      </c>
      <c r="B333" t="s">
        <v>17</v>
      </c>
      <c r="C333">
        <v>2958</v>
      </c>
    </row>
    <row r="334" spans="1:3">
      <c r="A334" t="s">
        <v>61</v>
      </c>
      <c r="B334" t="s">
        <v>16</v>
      </c>
      <c r="C334">
        <v>2.38</v>
      </c>
    </row>
    <row r="335" spans="1:3">
      <c r="A335" t="s">
        <v>61</v>
      </c>
      <c r="B335" t="s">
        <v>9</v>
      </c>
      <c r="C335">
        <v>485.36800000000005</v>
      </c>
    </row>
    <row r="336" spans="1:3">
      <c r="A336" t="s">
        <v>61</v>
      </c>
      <c r="B336" t="s">
        <v>14</v>
      </c>
      <c r="C336">
        <v>484.18</v>
      </c>
    </row>
    <row r="337" spans="1:3">
      <c r="A337" t="s">
        <v>61</v>
      </c>
      <c r="B337" t="s">
        <v>15</v>
      </c>
      <c r="C337">
        <v>2053.11</v>
      </c>
    </row>
    <row r="338" spans="1:3">
      <c r="A338" t="s">
        <v>61</v>
      </c>
      <c r="B338" t="s">
        <v>5</v>
      </c>
      <c r="C338">
        <v>6010.5</v>
      </c>
    </row>
    <row r="339" spans="1:3">
      <c r="A339" t="s">
        <v>61</v>
      </c>
      <c r="B339" t="s">
        <v>11</v>
      </c>
      <c r="C339">
        <v>0</v>
      </c>
    </row>
    <row r="340" spans="1:3">
      <c r="A340" t="s">
        <v>61</v>
      </c>
      <c r="B340" t="s">
        <v>18</v>
      </c>
      <c r="C340">
        <v>29.13</v>
      </c>
    </row>
    <row r="341" spans="1:3">
      <c r="A341" t="s">
        <v>61</v>
      </c>
      <c r="B341" t="s">
        <v>19</v>
      </c>
      <c r="C341">
        <v>32.4</v>
      </c>
    </row>
    <row r="342" spans="1:3">
      <c r="A342" t="s">
        <v>61</v>
      </c>
      <c r="B342" t="s">
        <v>17</v>
      </c>
      <c r="C342">
        <v>645.62</v>
      </c>
    </row>
    <row r="343" spans="1:3">
      <c r="A343" t="s">
        <v>64</v>
      </c>
      <c r="B343" t="s">
        <v>16</v>
      </c>
      <c r="C343">
        <v>225</v>
      </c>
    </row>
    <row r="344" spans="1:3">
      <c r="A344" t="s">
        <v>64</v>
      </c>
      <c r="B344" t="s">
        <v>142</v>
      </c>
      <c r="C344">
        <v>2411</v>
      </c>
    </row>
    <row r="345" spans="1:3">
      <c r="A345" t="s">
        <v>64</v>
      </c>
      <c r="B345" t="s">
        <v>9</v>
      </c>
      <c r="C345">
        <v>0</v>
      </c>
    </row>
    <row r="346" spans="1:3">
      <c r="A346" t="s">
        <v>64</v>
      </c>
      <c r="B346" t="s">
        <v>13</v>
      </c>
      <c r="C346">
        <v>0</v>
      </c>
    </row>
    <row r="347" spans="1:3">
      <c r="A347" t="s">
        <v>64</v>
      </c>
      <c r="B347" t="s">
        <v>14</v>
      </c>
      <c r="C347">
        <v>318</v>
      </c>
    </row>
    <row r="348" spans="1:3">
      <c r="A348" t="s">
        <v>64</v>
      </c>
      <c r="B348" t="s">
        <v>15</v>
      </c>
      <c r="C348">
        <v>1208</v>
      </c>
    </row>
    <row r="349" spans="1:3">
      <c r="A349" t="s">
        <v>64</v>
      </c>
      <c r="B349" t="s">
        <v>5</v>
      </c>
      <c r="C349">
        <v>0</v>
      </c>
    </row>
    <row r="350" spans="1:3">
      <c r="A350" t="s">
        <v>64</v>
      </c>
      <c r="B350" t="s">
        <v>11</v>
      </c>
      <c r="C350">
        <v>696</v>
      </c>
    </row>
    <row r="351" spans="1:3">
      <c r="A351" t="s">
        <v>64</v>
      </c>
      <c r="B351" t="s">
        <v>101</v>
      </c>
      <c r="C351">
        <v>58</v>
      </c>
    </row>
    <row r="352" spans="1:3">
      <c r="A352" t="s">
        <v>64</v>
      </c>
      <c r="B352" t="s">
        <v>18</v>
      </c>
      <c r="C352">
        <v>535</v>
      </c>
    </row>
    <row r="353" spans="1:3">
      <c r="A353" t="s">
        <v>64</v>
      </c>
      <c r="B353" t="s">
        <v>19</v>
      </c>
      <c r="C353">
        <v>6</v>
      </c>
    </row>
    <row r="354" spans="1:3">
      <c r="A354" t="s">
        <v>64</v>
      </c>
      <c r="B354" t="s">
        <v>17</v>
      </c>
      <c r="C354">
        <v>3</v>
      </c>
    </row>
    <row r="355" spans="1:3">
      <c r="A355" t="s">
        <v>63</v>
      </c>
      <c r="B355" t="s">
        <v>16</v>
      </c>
      <c r="C355">
        <v>43.39</v>
      </c>
    </row>
    <row r="356" spans="1:3">
      <c r="A356" t="s">
        <v>63</v>
      </c>
      <c r="B356" t="s">
        <v>6</v>
      </c>
      <c r="C356" s="4">
        <v>0</v>
      </c>
    </row>
    <row r="357" spans="1:3">
      <c r="A357" t="s">
        <v>63</v>
      </c>
      <c r="B357" t="s">
        <v>9</v>
      </c>
      <c r="C357">
        <v>604.83199999999999</v>
      </c>
    </row>
    <row r="358" spans="1:3">
      <c r="A358" t="s">
        <v>63</v>
      </c>
      <c r="B358" t="s">
        <v>15</v>
      </c>
      <c r="C358">
        <v>1125.24</v>
      </c>
    </row>
    <row r="359" spans="1:3">
      <c r="A359" t="s">
        <v>63</v>
      </c>
      <c r="B359" t="s">
        <v>5</v>
      </c>
      <c r="C359">
        <v>1190.5</v>
      </c>
    </row>
    <row r="360" spans="1:3">
      <c r="A360" t="s">
        <v>63</v>
      </c>
      <c r="B360" t="s">
        <v>11</v>
      </c>
      <c r="C360">
        <v>696</v>
      </c>
    </row>
    <row r="361" spans="1:3">
      <c r="A361" t="s">
        <v>63</v>
      </c>
      <c r="B361" t="s">
        <v>101</v>
      </c>
      <c r="C361">
        <v>58</v>
      </c>
    </row>
    <row r="362" spans="1:3">
      <c r="A362" t="s">
        <v>63</v>
      </c>
      <c r="B362" t="s">
        <v>18</v>
      </c>
      <c r="C362">
        <v>1109.53</v>
      </c>
    </row>
    <row r="363" spans="1:3">
      <c r="A363" t="s">
        <v>63</v>
      </c>
      <c r="B363" t="s">
        <v>19</v>
      </c>
      <c r="C363">
        <v>6.31</v>
      </c>
    </row>
    <row r="364" spans="1:3">
      <c r="A364" t="s">
        <v>63</v>
      </c>
      <c r="B364" t="s">
        <v>17</v>
      </c>
      <c r="C364">
        <v>3.25</v>
      </c>
    </row>
    <row r="365" spans="1:3">
      <c r="A365" t="s">
        <v>134</v>
      </c>
      <c r="B365" t="s">
        <v>115</v>
      </c>
      <c r="C365">
        <v>0</v>
      </c>
    </row>
    <row r="366" spans="1:3">
      <c r="A366" t="s">
        <v>134</v>
      </c>
      <c r="B366" t="s">
        <v>114</v>
      </c>
      <c r="C366">
        <v>0</v>
      </c>
    </row>
    <row r="367" spans="1:3">
      <c r="A367" t="s">
        <v>135</v>
      </c>
      <c r="B367" t="s">
        <v>115</v>
      </c>
      <c r="C367">
        <v>0</v>
      </c>
    </row>
    <row r="368" spans="1:3">
      <c r="A368" t="s">
        <v>135</v>
      </c>
      <c r="B368" t="s">
        <v>114</v>
      </c>
      <c r="C368">
        <v>0</v>
      </c>
    </row>
    <row r="369" spans="1:3">
      <c r="A369" t="s">
        <v>44</v>
      </c>
      <c r="B369" t="s">
        <v>16</v>
      </c>
      <c r="C369">
        <v>707.5</v>
      </c>
    </row>
    <row r="370" spans="1:3">
      <c r="A370" t="s">
        <v>44</v>
      </c>
      <c r="B370" t="s">
        <v>142</v>
      </c>
      <c r="C370">
        <v>3222.6</v>
      </c>
    </row>
    <row r="371" spans="1:3">
      <c r="A371" t="s">
        <v>44</v>
      </c>
      <c r="B371" t="s">
        <v>9</v>
      </c>
      <c r="C371">
        <v>23898.240000000002</v>
      </c>
    </row>
    <row r="372" spans="1:3">
      <c r="A372" t="s">
        <v>44</v>
      </c>
      <c r="B372" t="s">
        <v>14</v>
      </c>
      <c r="C372">
        <v>15771.4</v>
      </c>
    </row>
    <row r="373" spans="1:3">
      <c r="A373" t="s">
        <v>44</v>
      </c>
      <c r="B373" t="s">
        <v>15</v>
      </c>
      <c r="C373">
        <v>1154.8</v>
      </c>
    </row>
    <row r="374" spans="1:3">
      <c r="A374" t="s">
        <v>44</v>
      </c>
      <c r="B374" t="s">
        <v>5</v>
      </c>
      <c r="C374">
        <v>0</v>
      </c>
    </row>
    <row r="375" spans="1:3">
      <c r="A375" t="s">
        <v>44</v>
      </c>
      <c r="B375" t="s">
        <v>11</v>
      </c>
      <c r="C375">
        <v>7117.2</v>
      </c>
    </row>
    <row r="376" spans="1:3">
      <c r="A376" t="s">
        <v>44</v>
      </c>
      <c r="B376" t="s">
        <v>101</v>
      </c>
      <c r="C376">
        <v>703.7</v>
      </c>
    </row>
    <row r="377" spans="1:3">
      <c r="A377" t="s">
        <v>44</v>
      </c>
      <c r="B377" t="s">
        <v>18</v>
      </c>
      <c r="C377">
        <v>23867.3</v>
      </c>
    </row>
    <row r="378" spans="1:3">
      <c r="A378" t="s">
        <v>44</v>
      </c>
      <c r="B378" t="s">
        <v>19</v>
      </c>
      <c r="C378">
        <v>545.9</v>
      </c>
    </row>
    <row r="379" spans="1:3">
      <c r="A379" s="8" t="s">
        <v>44</v>
      </c>
      <c r="B379" s="8" t="s">
        <v>115</v>
      </c>
      <c r="C379" s="9">
        <v>0</v>
      </c>
    </row>
    <row r="380" spans="1:3">
      <c r="A380" s="8" t="s">
        <v>44</v>
      </c>
      <c r="B380" s="8" t="s">
        <v>114</v>
      </c>
      <c r="C380" s="8">
        <v>0</v>
      </c>
    </row>
    <row r="381" spans="1:3">
      <c r="A381" t="s">
        <v>44</v>
      </c>
      <c r="B381" t="s">
        <v>17</v>
      </c>
      <c r="C381">
        <v>30159.3</v>
      </c>
    </row>
    <row r="382" spans="1:3">
      <c r="A382" t="s">
        <v>62</v>
      </c>
      <c r="B382" t="s">
        <v>16</v>
      </c>
      <c r="C382">
        <v>5299</v>
      </c>
    </row>
    <row r="383" spans="1:3">
      <c r="A383" t="s">
        <v>62</v>
      </c>
      <c r="B383" t="s">
        <v>142</v>
      </c>
      <c r="C383">
        <v>0</v>
      </c>
    </row>
    <row r="384" spans="1:3">
      <c r="A384" t="s">
        <v>62</v>
      </c>
      <c r="B384" t="s">
        <v>9</v>
      </c>
      <c r="C384">
        <v>1258.4000000000001</v>
      </c>
    </row>
    <row r="385" spans="1:3">
      <c r="A385" t="s">
        <v>62</v>
      </c>
      <c r="B385" t="s">
        <v>14</v>
      </c>
      <c r="C385">
        <v>16300</v>
      </c>
    </row>
    <row r="386" spans="1:3">
      <c r="A386" t="s">
        <v>62</v>
      </c>
      <c r="B386" t="s">
        <v>15</v>
      </c>
      <c r="C386">
        <v>0</v>
      </c>
    </row>
    <row r="387" spans="1:3">
      <c r="A387" t="s">
        <v>62</v>
      </c>
      <c r="B387" t="s">
        <v>11</v>
      </c>
      <c r="C387">
        <v>6900</v>
      </c>
    </row>
    <row r="388" spans="1:3">
      <c r="A388" t="s">
        <v>62</v>
      </c>
      <c r="B388" t="s">
        <v>101</v>
      </c>
      <c r="C388">
        <v>0</v>
      </c>
    </row>
    <row r="389" spans="1:3">
      <c r="A389" t="s">
        <v>62</v>
      </c>
      <c r="B389" t="s">
        <v>18</v>
      </c>
      <c r="C389">
        <v>3200</v>
      </c>
    </row>
    <row r="390" spans="1:3">
      <c r="A390" t="s">
        <v>62</v>
      </c>
      <c r="B390" t="s">
        <v>19</v>
      </c>
      <c r="C390">
        <v>0</v>
      </c>
    </row>
    <row r="391" spans="1:3">
      <c r="A391" t="s">
        <v>62</v>
      </c>
      <c r="B391" t="s">
        <v>115</v>
      </c>
      <c r="C391">
        <v>0</v>
      </c>
    </row>
    <row r="392" spans="1:3">
      <c r="A392" t="s">
        <v>62</v>
      </c>
      <c r="B392" t="s">
        <v>114</v>
      </c>
      <c r="C392">
        <v>0</v>
      </c>
    </row>
    <row r="393" spans="1:3">
      <c r="A393" t="s">
        <v>62</v>
      </c>
      <c r="B393" t="s">
        <v>17</v>
      </c>
      <c r="C393">
        <v>16700</v>
      </c>
    </row>
    <row r="394" spans="1:3">
      <c r="A394" t="s">
        <v>39</v>
      </c>
      <c r="B394" t="s">
        <v>16</v>
      </c>
      <c r="C394">
        <v>0</v>
      </c>
    </row>
    <row r="395" spans="1:3">
      <c r="A395" t="s">
        <v>39</v>
      </c>
      <c r="B395" t="s">
        <v>14</v>
      </c>
      <c r="C395">
        <v>5772</v>
      </c>
    </row>
    <row r="396" spans="1:3">
      <c r="A396" t="s">
        <v>39</v>
      </c>
      <c r="B396" t="s">
        <v>15</v>
      </c>
      <c r="C396">
        <v>634.5</v>
      </c>
    </row>
    <row r="397" spans="1:3">
      <c r="A397" t="s">
        <v>39</v>
      </c>
      <c r="B397" t="s">
        <v>11</v>
      </c>
      <c r="C397">
        <v>2970</v>
      </c>
    </row>
    <row r="398" spans="1:3">
      <c r="A398" t="s">
        <v>39</v>
      </c>
      <c r="B398" t="s">
        <v>18</v>
      </c>
      <c r="C398">
        <v>0</v>
      </c>
    </row>
    <row r="399" spans="1:3">
      <c r="A399" t="s">
        <v>39</v>
      </c>
      <c r="B399" t="s">
        <v>19</v>
      </c>
      <c r="C399">
        <v>0</v>
      </c>
    </row>
    <row r="400" spans="1:3">
      <c r="A400" t="s">
        <v>39</v>
      </c>
      <c r="B400" t="s">
        <v>17</v>
      </c>
      <c r="C400">
        <v>0</v>
      </c>
    </row>
    <row r="401" spans="1:7">
      <c r="A401" t="s">
        <v>125</v>
      </c>
      <c r="B401" t="s">
        <v>115</v>
      </c>
      <c r="C401">
        <v>0</v>
      </c>
    </row>
    <row r="402" spans="1:7">
      <c r="A402" t="s">
        <v>125</v>
      </c>
      <c r="B402" t="s">
        <v>114</v>
      </c>
      <c r="C402">
        <v>0</v>
      </c>
    </row>
    <row r="403" spans="1:7">
      <c r="A403" t="s">
        <v>35</v>
      </c>
      <c r="B403" t="s">
        <v>8</v>
      </c>
      <c r="C403">
        <v>845</v>
      </c>
      <c r="E403">
        <v>4225</v>
      </c>
      <c r="F403">
        <f>0.2*E403</f>
        <v>845</v>
      </c>
      <c r="G403">
        <f>0.8*E403</f>
        <v>3380</v>
      </c>
    </row>
    <row r="404" spans="1:7">
      <c r="A404" t="s">
        <v>37</v>
      </c>
      <c r="B404" t="s">
        <v>8</v>
      </c>
      <c r="C404">
        <v>1398.982</v>
      </c>
      <c r="E404">
        <v>6994.91</v>
      </c>
      <c r="F404">
        <f t="shared" ref="F404:F435" si="0">0.2*E404</f>
        <v>1398.982</v>
      </c>
      <c r="G404">
        <f t="shared" ref="G404:G435" si="1">0.8*E404</f>
        <v>5595.9279999999999</v>
      </c>
    </row>
    <row r="405" spans="1:7">
      <c r="A405" t="s">
        <v>38</v>
      </c>
      <c r="B405" t="s">
        <v>8</v>
      </c>
      <c r="C405">
        <v>139.80000000000001</v>
      </c>
      <c r="E405">
        <v>699</v>
      </c>
      <c r="F405">
        <f t="shared" si="0"/>
        <v>139.80000000000001</v>
      </c>
      <c r="G405">
        <f t="shared" si="1"/>
        <v>559.20000000000005</v>
      </c>
    </row>
    <row r="406" spans="1:7">
      <c r="A406" t="s">
        <v>49</v>
      </c>
      <c r="B406" t="s">
        <v>8</v>
      </c>
      <c r="C406">
        <v>177.20000000000002</v>
      </c>
      <c r="E406">
        <v>886</v>
      </c>
      <c r="F406">
        <f t="shared" si="0"/>
        <v>177.20000000000002</v>
      </c>
      <c r="G406">
        <f t="shared" si="1"/>
        <v>708.80000000000007</v>
      </c>
    </row>
    <row r="407" spans="1:7">
      <c r="A407" t="s">
        <v>40</v>
      </c>
      <c r="B407" t="s">
        <v>8</v>
      </c>
      <c r="C407">
        <v>248</v>
      </c>
      <c r="E407">
        <v>1240</v>
      </c>
      <c r="F407">
        <f t="shared" si="0"/>
        <v>248</v>
      </c>
      <c r="G407">
        <f t="shared" si="1"/>
        <v>992</v>
      </c>
    </row>
    <row r="408" spans="1:7">
      <c r="A408" t="s">
        <v>42</v>
      </c>
      <c r="B408" t="s">
        <v>8</v>
      </c>
      <c r="C408">
        <v>324.20000000000005</v>
      </c>
      <c r="E408">
        <v>1621</v>
      </c>
      <c r="F408">
        <f t="shared" si="0"/>
        <v>324.20000000000005</v>
      </c>
      <c r="G408">
        <f t="shared" si="1"/>
        <v>1296.8000000000002</v>
      </c>
    </row>
    <row r="409" spans="1:7">
      <c r="A409" t="s">
        <v>43</v>
      </c>
      <c r="B409" t="s">
        <v>8</v>
      </c>
      <c r="C409">
        <v>3.0600000000000005</v>
      </c>
      <c r="E409">
        <v>15.3</v>
      </c>
      <c r="F409">
        <f t="shared" si="0"/>
        <v>3.0600000000000005</v>
      </c>
      <c r="G409">
        <f t="shared" si="1"/>
        <v>12.240000000000002</v>
      </c>
    </row>
    <row r="410" spans="1:7">
      <c r="A410" t="s">
        <v>45</v>
      </c>
      <c r="B410" t="s">
        <v>8</v>
      </c>
      <c r="C410">
        <v>348.40000000000003</v>
      </c>
      <c r="E410">
        <v>1742</v>
      </c>
      <c r="F410">
        <f t="shared" si="0"/>
        <v>348.40000000000003</v>
      </c>
      <c r="G410">
        <f t="shared" si="1"/>
        <v>1393.6000000000001</v>
      </c>
    </row>
    <row r="411" spans="1:7">
      <c r="A411" t="s">
        <v>46</v>
      </c>
      <c r="B411" t="s">
        <v>8</v>
      </c>
      <c r="C411">
        <v>2626.6580000000004</v>
      </c>
      <c r="E411">
        <v>13133.29</v>
      </c>
      <c r="F411">
        <f t="shared" si="0"/>
        <v>2626.6580000000004</v>
      </c>
      <c r="G411">
        <f t="shared" si="1"/>
        <v>10506.632000000001</v>
      </c>
    </row>
    <row r="412" spans="1:7">
      <c r="A412" t="s">
        <v>41</v>
      </c>
      <c r="B412" t="s">
        <v>8</v>
      </c>
      <c r="C412">
        <v>7251</v>
      </c>
      <c r="E412">
        <v>36255</v>
      </c>
      <c r="F412">
        <f t="shared" si="0"/>
        <v>7251</v>
      </c>
      <c r="G412">
        <f t="shared" si="1"/>
        <v>29004</v>
      </c>
    </row>
    <row r="413" spans="1:7">
      <c r="A413" t="s">
        <v>47</v>
      </c>
      <c r="B413" t="s">
        <v>8</v>
      </c>
      <c r="C413">
        <v>3658</v>
      </c>
      <c r="E413">
        <v>3658</v>
      </c>
    </row>
    <row r="414" spans="1:7">
      <c r="A414" t="s">
        <v>48</v>
      </c>
      <c r="B414" t="s">
        <v>8</v>
      </c>
      <c r="C414">
        <v>1206</v>
      </c>
      <c r="E414">
        <v>6030</v>
      </c>
      <c r="F414">
        <f t="shared" si="0"/>
        <v>1206</v>
      </c>
      <c r="G414">
        <f t="shared" si="1"/>
        <v>4824</v>
      </c>
    </row>
    <row r="415" spans="1:7">
      <c r="A415" t="s">
        <v>50</v>
      </c>
      <c r="B415" t="s">
        <v>8</v>
      </c>
      <c r="C415">
        <v>632.17200000000003</v>
      </c>
      <c r="E415">
        <v>3160.86</v>
      </c>
      <c r="F415">
        <f t="shared" si="0"/>
        <v>632.17200000000003</v>
      </c>
      <c r="G415">
        <f t="shared" si="1"/>
        <v>2528.6880000000001</v>
      </c>
    </row>
    <row r="416" spans="1:7">
      <c r="A416" t="s">
        <v>51</v>
      </c>
      <c r="B416" t="s">
        <v>8</v>
      </c>
      <c r="C416">
        <v>853</v>
      </c>
      <c r="E416">
        <v>4265</v>
      </c>
      <c r="F416">
        <f t="shared" si="0"/>
        <v>853</v>
      </c>
      <c r="G416">
        <f t="shared" si="1"/>
        <v>3412</v>
      </c>
    </row>
    <row r="417" spans="1:7">
      <c r="A417" t="s">
        <v>52</v>
      </c>
      <c r="B417" t="s">
        <v>8</v>
      </c>
      <c r="C417">
        <v>9031.4</v>
      </c>
      <c r="E417">
        <v>45157</v>
      </c>
      <c r="F417">
        <f t="shared" si="0"/>
        <v>9031.4</v>
      </c>
      <c r="G417">
        <f t="shared" si="1"/>
        <v>36125.599999999999</v>
      </c>
    </row>
    <row r="418" spans="1:7">
      <c r="A418" t="s">
        <v>55</v>
      </c>
      <c r="B418" t="s">
        <v>8</v>
      </c>
      <c r="C418">
        <v>222.4</v>
      </c>
      <c r="E418">
        <v>1112</v>
      </c>
      <c r="F418">
        <f t="shared" si="0"/>
        <v>222.4</v>
      </c>
      <c r="G418">
        <f t="shared" si="1"/>
        <v>889.6</v>
      </c>
    </row>
    <row r="419" spans="1:7">
      <c r="A419" t="s">
        <v>53</v>
      </c>
      <c r="B419" t="s">
        <v>8</v>
      </c>
      <c r="C419">
        <v>300.60000000000002</v>
      </c>
      <c r="E419">
        <v>1503</v>
      </c>
      <c r="F419">
        <f t="shared" si="0"/>
        <v>300.60000000000002</v>
      </c>
      <c r="G419">
        <f t="shared" si="1"/>
        <v>1202.4000000000001</v>
      </c>
    </row>
    <row r="420" spans="1:7">
      <c r="A420" t="s">
        <v>54</v>
      </c>
      <c r="B420" t="s">
        <v>8</v>
      </c>
      <c r="C420">
        <v>14.4</v>
      </c>
      <c r="E420">
        <v>72</v>
      </c>
      <c r="F420">
        <f t="shared" si="0"/>
        <v>14.4</v>
      </c>
      <c r="G420">
        <f t="shared" si="1"/>
        <v>57.6</v>
      </c>
    </row>
    <row r="421" spans="1:7">
      <c r="A421" t="s">
        <v>56</v>
      </c>
      <c r="B421" t="s">
        <v>8</v>
      </c>
      <c r="C421">
        <v>50.2</v>
      </c>
      <c r="E421">
        <v>251</v>
      </c>
      <c r="F421">
        <f t="shared" si="0"/>
        <v>50.2</v>
      </c>
      <c r="G421">
        <f t="shared" si="1"/>
        <v>200.8</v>
      </c>
    </row>
    <row r="422" spans="1:7">
      <c r="A422" t="s">
        <v>57</v>
      </c>
      <c r="B422" t="s">
        <v>8</v>
      </c>
      <c r="C422">
        <v>3670.2000000000003</v>
      </c>
      <c r="E422">
        <v>18351</v>
      </c>
      <c r="F422">
        <f t="shared" si="0"/>
        <v>3670.2000000000003</v>
      </c>
      <c r="G422">
        <f t="shared" si="1"/>
        <v>14680.800000000001</v>
      </c>
    </row>
    <row r="423" spans="1:7">
      <c r="A423" t="s">
        <v>65</v>
      </c>
      <c r="B423" t="s">
        <v>8</v>
      </c>
      <c r="C423">
        <v>1.1199999999999999</v>
      </c>
      <c r="E423">
        <v>5.6</v>
      </c>
      <c r="F423">
        <f t="shared" si="0"/>
        <v>1.1199999999999999</v>
      </c>
      <c r="G423">
        <f t="shared" si="1"/>
        <v>4.4799999999999995</v>
      </c>
    </row>
    <row r="424" spans="1:7">
      <c r="A424" t="s">
        <v>66</v>
      </c>
      <c r="B424" t="s">
        <v>8</v>
      </c>
      <c r="C424">
        <v>4.54</v>
      </c>
      <c r="E424">
        <v>22.7</v>
      </c>
      <c r="F424">
        <f t="shared" si="0"/>
        <v>4.54</v>
      </c>
      <c r="G424">
        <f t="shared" si="1"/>
        <v>18.16</v>
      </c>
    </row>
    <row r="425" spans="1:7">
      <c r="A425" t="s">
        <v>67</v>
      </c>
      <c r="B425" t="s">
        <v>8</v>
      </c>
      <c r="C425">
        <v>0</v>
      </c>
      <c r="E425">
        <v>0</v>
      </c>
      <c r="F425">
        <f t="shared" si="0"/>
        <v>0</v>
      </c>
      <c r="G425">
        <f t="shared" si="1"/>
        <v>0</v>
      </c>
    </row>
    <row r="426" spans="1:7">
      <c r="A426" t="s">
        <v>68</v>
      </c>
      <c r="B426" t="s">
        <v>8</v>
      </c>
      <c r="C426">
        <v>50.488</v>
      </c>
      <c r="E426">
        <v>252.44</v>
      </c>
      <c r="F426">
        <f t="shared" si="0"/>
        <v>50.488</v>
      </c>
      <c r="G426">
        <f t="shared" si="1"/>
        <v>201.952</v>
      </c>
    </row>
    <row r="427" spans="1:7">
      <c r="A427" t="s">
        <v>69</v>
      </c>
      <c r="B427" t="s">
        <v>8</v>
      </c>
      <c r="C427">
        <v>38.44</v>
      </c>
      <c r="E427">
        <v>192.2</v>
      </c>
      <c r="F427">
        <f t="shared" si="0"/>
        <v>38.44</v>
      </c>
      <c r="G427">
        <f t="shared" si="1"/>
        <v>153.76</v>
      </c>
    </row>
    <row r="428" spans="1:7">
      <c r="A428" t="s">
        <v>58</v>
      </c>
      <c r="B428" t="s">
        <v>8</v>
      </c>
      <c r="C428">
        <v>1032.4760000000001</v>
      </c>
      <c r="E428">
        <v>5162.38</v>
      </c>
      <c r="F428">
        <f t="shared" si="0"/>
        <v>1032.4760000000001</v>
      </c>
      <c r="G428">
        <f t="shared" si="1"/>
        <v>4129.9040000000005</v>
      </c>
    </row>
    <row r="429" spans="1:7">
      <c r="A429" t="s">
        <v>59</v>
      </c>
      <c r="B429" t="s">
        <v>8</v>
      </c>
      <c r="C429">
        <v>886.54</v>
      </c>
      <c r="E429">
        <v>4432.7</v>
      </c>
      <c r="F429">
        <f t="shared" si="0"/>
        <v>886.54</v>
      </c>
      <c r="G429">
        <f t="shared" si="1"/>
        <v>3546.16</v>
      </c>
    </row>
    <row r="430" spans="1:7">
      <c r="A430" t="s">
        <v>60</v>
      </c>
      <c r="B430" t="s">
        <v>8</v>
      </c>
      <c r="C430">
        <v>447.6</v>
      </c>
      <c r="E430">
        <v>2238</v>
      </c>
      <c r="F430">
        <f t="shared" si="0"/>
        <v>447.6</v>
      </c>
      <c r="G430">
        <f t="shared" si="1"/>
        <v>1790.4</v>
      </c>
    </row>
    <row r="431" spans="1:7">
      <c r="A431" t="s">
        <v>61</v>
      </c>
      <c r="B431" t="s">
        <v>8</v>
      </c>
      <c r="C431">
        <v>121.34200000000001</v>
      </c>
      <c r="E431">
        <v>606.71</v>
      </c>
      <c r="F431">
        <f t="shared" si="0"/>
        <v>121.34200000000001</v>
      </c>
      <c r="G431">
        <f t="shared" si="1"/>
        <v>485.36800000000005</v>
      </c>
    </row>
    <row r="432" spans="1:7">
      <c r="A432" t="s">
        <v>64</v>
      </c>
      <c r="B432" t="s">
        <v>8</v>
      </c>
      <c r="C432">
        <v>0</v>
      </c>
      <c r="E432">
        <v>0</v>
      </c>
      <c r="F432">
        <f t="shared" si="0"/>
        <v>0</v>
      </c>
      <c r="G432">
        <f t="shared" si="1"/>
        <v>0</v>
      </c>
    </row>
    <row r="433" spans="1:7">
      <c r="A433" t="s">
        <v>63</v>
      </c>
      <c r="B433" t="s">
        <v>8</v>
      </c>
      <c r="C433">
        <v>151.208</v>
      </c>
      <c r="E433">
        <v>756.04</v>
      </c>
      <c r="F433">
        <f t="shared" si="0"/>
        <v>151.208</v>
      </c>
      <c r="G433">
        <f t="shared" si="1"/>
        <v>604.83199999999999</v>
      </c>
    </row>
    <row r="434" spans="1:7">
      <c r="A434" t="s">
        <v>44</v>
      </c>
      <c r="B434" t="s">
        <v>8</v>
      </c>
      <c r="C434">
        <v>5974.56</v>
      </c>
      <c r="E434">
        <v>29872.799999999999</v>
      </c>
      <c r="F434">
        <f t="shared" si="0"/>
        <v>5974.56</v>
      </c>
      <c r="G434">
        <f t="shared" si="1"/>
        <v>23898.240000000002</v>
      </c>
    </row>
    <row r="435" spans="1:7">
      <c r="A435" t="s">
        <v>62</v>
      </c>
      <c r="B435" t="s">
        <v>8</v>
      </c>
      <c r="C435">
        <v>314.60000000000002</v>
      </c>
      <c r="E435">
        <v>1573</v>
      </c>
      <c r="F435">
        <f t="shared" si="0"/>
        <v>314.60000000000002</v>
      </c>
      <c r="G435">
        <f t="shared" si="1"/>
        <v>1258.4000000000001</v>
      </c>
    </row>
  </sheetData>
  <autoFilter ref="A3:C435" xr:uid="{00000000-0001-0000-0600-000000000000}"/>
  <conditionalFormatting sqref="E11:E117 E119:E270 E2:E3 E6 G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G5" r:id="rId1" xr:uid="{44D04B39-D9B6-4844-B55B-E849FF132ED5}"/>
  </hyperlink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M8" sqref="M8"/>
    </sheetView>
  </sheetViews>
  <sheetFormatPr defaultColWidth="10.453125" defaultRowHeight="14.5"/>
  <cols>
    <col min="1" max="1" width="10.453125" bestFit="1" customWidth="1"/>
    <col min="2" max="2" width="18.1796875" bestFit="1" customWidth="1"/>
    <col min="3" max="3" width="5.81640625" bestFit="1" customWidth="1"/>
    <col min="4" max="4" width="25.453125" bestFit="1" customWidth="1"/>
  </cols>
  <sheetData>
    <row r="1" spans="1:4">
      <c r="A1" t="s">
        <v>32</v>
      </c>
    </row>
    <row r="2" spans="1:4">
      <c r="A2" t="s">
        <v>77</v>
      </c>
    </row>
    <row r="3" spans="1:4">
      <c r="A3" t="s">
        <v>33</v>
      </c>
      <c r="B3" t="s">
        <v>2</v>
      </c>
      <c r="C3" t="s">
        <v>3</v>
      </c>
      <c r="D3" t="s">
        <v>78</v>
      </c>
    </row>
    <row r="4" spans="1:4">
      <c r="A4" t="s">
        <v>35</v>
      </c>
      <c r="B4" t="s">
        <v>142</v>
      </c>
      <c r="C4">
        <v>1</v>
      </c>
      <c r="D4">
        <v>0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8"/>
  <sheetViews>
    <sheetView zoomScaleNormal="100" workbookViewId="0">
      <selection activeCell="E247" sqref="E247"/>
    </sheetView>
  </sheetViews>
  <sheetFormatPr defaultColWidth="10.453125" defaultRowHeight="14.5"/>
  <cols>
    <col min="1" max="1" width="12.1796875" customWidth="1"/>
    <col min="2" max="2" width="21.1796875" bestFit="1" customWidth="1"/>
    <col min="3" max="3" width="12.1796875" customWidth="1"/>
    <col min="4" max="4" width="15.453125" customWidth="1"/>
  </cols>
  <sheetData>
    <row r="1" spans="1:4">
      <c r="A1" t="s">
        <v>79</v>
      </c>
    </row>
    <row r="2" spans="1:4">
      <c r="A2" t="s">
        <v>80</v>
      </c>
    </row>
    <row r="3" spans="1:4">
      <c r="A3" t="s">
        <v>33</v>
      </c>
      <c r="B3" t="s">
        <v>2</v>
      </c>
      <c r="C3" t="s">
        <v>3</v>
      </c>
      <c r="D3" t="s">
        <v>81</v>
      </c>
    </row>
    <row r="4" spans="1:4">
      <c r="A4" t="s">
        <v>35</v>
      </c>
      <c r="B4" t="s">
        <v>82</v>
      </c>
      <c r="C4">
        <v>1</v>
      </c>
      <c r="D4">
        <v>0</v>
      </c>
    </row>
    <row r="5" spans="1:4">
      <c r="A5" t="s">
        <v>36</v>
      </c>
      <c r="B5" t="s">
        <v>82</v>
      </c>
      <c r="C5">
        <v>1</v>
      </c>
      <c r="D5">
        <v>0</v>
      </c>
    </row>
    <row r="6" spans="1:4">
      <c r="A6" t="s">
        <v>37</v>
      </c>
      <c r="B6" t="s">
        <v>82</v>
      </c>
      <c r="C6">
        <v>1</v>
      </c>
      <c r="D6">
        <v>0</v>
      </c>
    </row>
    <row r="7" spans="1:4">
      <c r="A7" t="s">
        <v>38</v>
      </c>
      <c r="B7" t="s">
        <v>82</v>
      </c>
      <c r="C7">
        <v>1</v>
      </c>
      <c r="D7">
        <v>0</v>
      </c>
    </row>
    <row r="8" spans="1:4">
      <c r="A8" t="s">
        <v>39</v>
      </c>
      <c r="B8" t="s">
        <v>82</v>
      </c>
      <c r="C8">
        <v>1</v>
      </c>
      <c r="D8">
        <v>0</v>
      </c>
    </row>
    <row r="9" spans="1:4">
      <c r="A9" t="s">
        <v>40</v>
      </c>
      <c r="B9" t="s">
        <v>82</v>
      </c>
      <c r="C9">
        <v>1</v>
      </c>
      <c r="D9">
        <v>0</v>
      </c>
    </row>
    <row r="10" spans="1:4">
      <c r="A10" t="s">
        <v>41</v>
      </c>
      <c r="B10" t="s">
        <v>82</v>
      </c>
      <c r="C10">
        <v>1</v>
      </c>
      <c r="D10">
        <v>0</v>
      </c>
    </row>
    <row r="11" spans="1:4">
      <c r="A11" t="s">
        <v>42</v>
      </c>
      <c r="B11" t="s">
        <v>82</v>
      </c>
      <c r="C11">
        <v>1</v>
      </c>
      <c r="D11">
        <v>0</v>
      </c>
    </row>
    <row r="12" spans="1:4">
      <c r="A12" t="s">
        <v>43</v>
      </c>
      <c r="B12" t="s">
        <v>82</v>
      </c>
      <c r="C12">
        <v>1</v>
      </c>
      <c r="D12">
        <v>0</v>
      </c>
    </row>
    <row r="13" spans="1:4">
      <c r="A13" t="s">
        <v>44</v>
      </c>
      <c r="B13" t="s">
        <v>82</v>
      </c>
      <c r="C13">
        <v>1</v>
      </c>
      <c r="D13">
        <v>0</v>
      </c>
    </row>
    <row r="14" spans="1:4">
      <c r="A14" t="s">
        <v>45</v>
      </c>
      <c r="B14" t="s">
        <v>82</v>
      </c>
      <c r="C14">
        <v>1</v>
      </c>
      <c r="D14">
        <v>0</v>
      </c>
    </row>
    <row r="15" spans="1:4">
      <c r="A15" t="s">
        <v>46</v>
      </c>
      <c r="B15" t="s">
        <v>82</v>
      </c>
      <c r="C15">
        <v>1</v>
      </c>
      <c r="D15">
        <v>0</v>
      </c>
    </row>
    <row r="16" spans="1:4">
      <c r="A16" t="s">
        <v>47</v>
      </c>
      <c r="B16" t="s">
        <v>82</v>
      </c>
      <c r="C16">
        <v>1</v>
      </c>
      <c r="D16">
        <v>0</v>
      </c>
    </row>
    <row r="17" spans="1:4">
      <c r="A17" t="s">
        <v>48</v>
      </c>
      <c r="B17" t="s">
        <v>82</v>
      </c>
      <c r="C17">
        <v>1</v>
      </c>
      <c r="D17">
        <v>0</v>
      </c>
    </row>
    <row r="18" spans="1:4">
      <c r="A18" t="s">
        <v>49</v>
      </c>
      <c r="B18" t="s">
        <v>82</v>
      </c>
      <c r="C18">
        <v>1</v>
      </c>
      <c r="D18">
        <v>0</v>
      </c>
    </row>
    <row r="19" spans="1:4">
      <c r="A19" t="s">
        <v>50</v>
      </c>
      <c r="B19" t="s">
        <v>82</v>
      </c>
      <c r="C19">
        <v>1</v>
      </c>
      <c r="D19">
        <v>0</v>
      </c>
    </row>
    <row r="20" spans="1:4">
      <c r="A20" t="s">
        <v>51</v>
      </c>
      <c r="B20" t="s">
        <v>82</v>
      </c>
      <c r="C20">
        <v>1</v>
      </c>
      <c r="D20">
        <v>0</v>
      </c>
    </row>
    <row r="21" spans="1:4">
      <c r="A21" t="s">
        <v>52</v>
      </c>
      <c r="B21" t="s">
        <v>82</v>
      </c>
      <c r="C21">
        <v>1</v>
      </c>
      <c r="D21">
        <v>0</v>
      </c>
    </row>
    <row r="22" spans="1:4">
      <c r="A22" t="s">
        <v>53</v>
      </c>
      <c r="B22" t="s">
        <v>82</v>
      </c>
      <c r="C22">
        <v>1</v>
      </c>
      <c r="D22">
        <v>0</v>
      </c>
    </row>
    <row r="23" spans="1:4">
      <c r="A23" t="s">
        <v>54</v>
      </c>
      <c r="B23" t="s">
        <v>82</v>
      </c>
      <c r="C23">
        <v>1</v>
      </c>
      <c r="D23">
        <v>0</v>
      </c>
    </row>
    <row r="24" spans="1:4">
      <c r="A24" t="s">
        <v>55</v>
      </c>
      <c r="B24" t="s">
        <v>82</v>
      </c>
      <c r="C24">
        <v>1</v>
      </c>
      <c r="D24">
        <v>0</v>
      </c>
    </row>
    <row r="25" spans="1:4">
      <c r="A25" t="s">
        <v>56</v>
      </c>
      <c r="B25" t="s">
        <v>82</v>
      </c>
      <c r="C25">
        <v>1</v>
      </c>
      <c r="D25">
        <v>0</v>
      </c>
    </row>
    <row r="26" spans="1:4">
      <c r="A26" t="s">
        <v>57</v>
      </c>
      <c r="B26" t="s">
        <v>82</v>
      </c>
      <c r="C26">
        <v>1</v>
      </c>
      <c r="D26">
        <v>0</v>
      </c>
    </row>
    <row r="27" spans="1:4">
      <c r="A27" t="s">
        <v>65</v>
      </c>
      <c r="B27" t="s">
        <v>82</v>
      </c>
      <c r="C27">
        <v>1</v>
      </c>
      <c r="D27">
        <v>0</v>
      </c>
    </row>
    <row r="28" spans="1:4">
      <c r="A28" t="s">
        <v>66</v>
      </c>
      <c r="B28" t="s">
        <v>82</v>
      </c>
      <c r="C28">
        <v>1</v>
      </c>
      <c r="D28">
        <v>0</v>
      </c>
    </row>
    <row r="29" spans="1:4">
      <c r="A29" t="s">
        <v>67</v>
      </c>
      <c r="B29" t="s">
        <v>82</v>
      </c>
      <c r="C29">
        <v>1</v>
      </c>
      <c r="D29">
        <v>0</v>
      </c>
    </row>
    <row r="30" spans="1:4">
      <c r="A30" t="s">
        <v>68</v>
      </c>
      <c r="B30" t="s">
        <v>82</v>
      </c>
      <c r="C30">
        <v>1</v>
      </c>
      <c r="D30">
        <v>0</v>
      </c>
    </row>
    <row r="31" spans="1:4">
      <c r="A31" t="s">
        <v>69</v>
      </c>
      <c r="B31" t="s">
        <v>82</v>
      </c>
      <c r="C31">
        <v>1</v>
      </c>
      <c r="D31">
        <v>0</v>
      </c>
    </row>
    <row r="32" spans="1:4">
      <c r="A32" t="s">
        <v>58</v>
      </c>
      <c r="B32" t="s">
        <v>82</v>
      </c>
      <c r="C32">
        <v>1</v>
      </c>
      <c r="D32">
        <v>0</v>
      </c>
    </row>
    <row r="33" spans="1:4">
      <c r="A33" t="s">
        <v>59</v>
      </c>
      <c r="B33" t="s">
        <v>82</v>
      </c>
      <c r="C33">
        <v>1</v>
      </c>
      <c r="D33">
        <v>0</v>
      </c>
    </row>
    <row r="34" spans="1:4">
      <c r="A34" t="s">
        <v>60</v>
      </c>
      <c r="B34" t="s">
        <v>82</v>
      </c>
      <c r="C34">
        <v>1</v>
      </c>
      <c r="D34">
        <v>0</v>
      </c>
    </row>
    <row r="35" spans="1:4">
      <c r="A35" t="s">
        <v>61</v>
      </c>
      <c r="B35" t="s">
        <v>82</v>
      </c>
      <c r="C35">
        <v>1</v>
      </c>
      <c r="D35">
        <v>0</v>
      </c>
    </row>
    <row r="36" spans="1:4">
      <c r="A36" t="s">
        <v>62</v>
      </c>
      <c r="B36" t="s">
        <v>82</v>
      </c>
      <c r="C36">
        <v>1</v>
      </c>
      <c r="D36">
        <v>0</v>
      </c>
    </row>
    <row r="37" spans="1:4">
      <c r="A37" t="s">
        <v>63</v>
      </c>
      <c r="B37" t="s">
        <v>82</v>
      </c>
      <c r="C37">
        <v>1</v>
      </c>
      <c r="D37">
        <v>0</v>
      </c>
    </row>
    <row r="38" spans="1:4">
      <c r="A38" t="s">
        <v>64</v>
      </c>
      <c r="B38" t="s">
        <v>82</v>
      </c>
      <c r="C38">
        <v>1</v>
      </c>
      <c r="D38">
        <v>0</v>
      </c>
    </row>
    <row r="39" spans="1:4">
      <c r="A39" t="s">
        <v>35</v>
      </c>
      <c r="B39" t="s">
        <v>82</v>
      </c>
      <c r="C39">
        <v>2</v>
      </c>
      <c r="D39">
        <v>0</v>
      </c>
    </row>
    <row r="40" spans="1:4">
      <c r="A40" t="s">
        <v>36</v>
      </c>
      <c r="B40" t="s">
        <v>82</v>
      </c>
      <c r="C40">
        <v>2</v>
      </c>
      <c r="D40">
        <v>0</v>
      </c>
    </row>
    <row r="41" spans="1:4">
      <c r="A41" t="s">
        <v>37</v>
      </c>
      <c r="B41" t="s">
        <v>82</v>
      </c>
      <c r="C41">
        <v>2</v>
      </c>
      <c r="D41">
        <v>0</v>
      </c>
    </row>
    <row r="42" spans="1:4">
      <c r="A42" t="s">
        <v>38</v>
      </c>
      <c r="B42" t="s">
        <v>82</v>
      </c>
      <c r="C42">
        <v>2</v>
      </c>
      <c r="D42">
        <v>0</v>
      </c>
    </row>
    <row r="43" spans="1:4">
      <c r="A43" t="s">
        <v>39</v>
      </c>
      <c r="B43" t="s">
        <v>82</v>
      </c>
      <c r="C43">
        <v>2</v>
      </c>
      <c r="D43">
        <v>0</v>
      </c>
    </row>
    <row r="44" spans="1:4">
      <c r="A44" t="s">
        <v>40</v>
      </c>
      <c r="B44" t="s">
        <v>82</v>
      </c>
      <c r="C44">
        <v>2</v>
      </c>
      <c r="D44">
        <v>0</v>
      </c>
    </row>
    <row r="45" spans="1:4">
      <c r="A45" t="s">
        <v>41</v>
      </c>
      <c r="B45" t="s">
        <v>82</v>
      </c>
      <c r="C45">
        <v>2</v>
      </c>
      <c r="D45">
        <v>0</v>
      </c>
    </row>
    <row r="46" spans="1:4">
      <c r="A46" t="s">
        <v>42</v>
      </c>
      <c r="B46" t="s">
        <v>82</v>
      </c>
      <c r="C46">
        <v>2</v>
      </c>
      <c r="D46">
        <v>0</v>
      </c>
    </row>
    <row r="47" spans="1:4">
      <c r="A47" t="s">
        <v>43</v>
      </c>
      <c r="B47" t="s">
        <v>82</v>
      </c>
      <c r="C47">
        <v>2</v>
      </c>
      <c r="D47">
        <v>0</v>
      </c>
    </row>
    <row r="48" spans="1:4">
      <c r="A48" t="s">
        <v>44</v>
      </c>
      <c r="B48" t="s">
        <v>82</v>
      </c>
      <c r="C48">
        <v>2</v>
      </c>
      <c r="D48">
        <v>0</v>
      </c>
    </row>
    <row r="49" spans="1:4">
      <c r="A49" t="s">
        <v>45</v>
      </c>
      <c r="B49" t="s">
        <v>82</v>
      </c>
      <c r="C49">
        <v>2</v>
      </c>
      <c r="D49">
        <v>0</v>
      </c>
    </row>
    <row r="50" spans="1:4">
      <c r="A50" t="s">
        <v>46</v>
      </c>
      <c r="B50" t="s">
        <v>82</v>
      </c>
      <c r="C50">
        <v>2</v>
      </c>
      <c r="D50">
        <v>0</v>
      </c>
    </row>
    <row r="51" spans="1:4">
      <c r="A51" t="s">
        <v>47</v>
      </c>
      <c r="B51" t="s">
        <v>82</v>
      </c>
      <c r="C51">
        <v>2</v>
      </c>
      <c r="D51">
        <v>0</v>
      </c>
    </row>
    <row r="52" spans="1:4">
      <c r="A52" t="s">
        <v>48</v>
      </c>
      <c r="B52" t="s">
        <v>82</v>
      </c>
      <c r="C52">
        <v>2</v>
      </c>
      <c r="D52">
        <v>0</v>
      </c>
    </row>
    <row r="53" spans="1:4">
      <c r="A53" t="s">
        <v>49</v>
      </c>
      <c r="B53" t="s">
        <v>82</v>
      </c>
      <c r="C53">
        <v>2</v>
      </c>
      <c r="D53">
        <v>0</v>
      </c>
    </row>
    <row r="54" spans="1:4">
      <c r="A54" t="s">
        <v>50</v>
      </c>
      <c r="B54" t="s">
        <v>82</v>
      </c>
      <c r="C54">
        <v>2</v>
      </c>
      <c r="D54">
        <v>0</v>
      </c>
    </row>
    <row r="55" spans="1:4">
      <c r="A55" t="s">
        <v>51</v>
      </c>
      <c r="B55" t="s">
        <v>82</v>
      </c>
      <c r="C55">
        <v>2</v>
      </c>
      <c r="D55">
        <v>0</v>
      </c>
    </row>
    <row r="56" spans="1:4">
      <c r="A56" t="s">
        <v>52</v>
      </c>
      <c r="B56" t="s">
        <v>82</v>
      </c>
      <c r="C56">
        <v>2</v>
      </c>
      <c r="D56">
        <v>0</v>
      </c>
    </row>
    <row r="57" spans="1:4">
      <c r="A57" t="s">
        <v>53</v>
      </c>
      <c r="B57" t="s">
        <v>82</v>
      </c>
      <c r="C57">
        <v>2</v>
      </c>
      <c r="D57">
        <v>0</v>
      </c>
    </row>
    <row r="58" spans="1:4">
      <c r="A58" t="s">
        <v>54</v>
      </c>
      <c r="B58" t="s">
        <v>82</v>
      </c>
      <c r="C58">
        <v>2</v>
      </c>
      <c r="D58">
        <v>0</v>
      </c>
    </row>
    <row r="59" spans="1:4">
      <c r="A59" t="s">
        <v>55</v>
      </c>
      <c r="B59" t="s">
        <v>82</v>
      </c>
      <c r="C59">
        <v>2</v>
      </c>
      <c r="D59">
        <v>0</v>
      </c>
    </row>
    <row r="60" spans="1:4">
      <c r="A60" t="s">
        <v>56</v>
      </c>
      <c r="B60" t="s">
        <v>82</v>
      </c>
      <c r="C60">
        <v>2</v>
      </c>
      <c r="D60">
        <v>0</v>
      </c>
    </row>
    <row r="61" spans="1:4">
      <c r="A61" t="s">
        <v>57</v>
      </c>
      <c r="B61" t="s">
        <v>82</v>
      </c>
      <c r="C61">
        <v>2</v>
      </c>
      <c r="D61">
        <v>0</v>
      </c>
    </row>
    <row r="62" spans="1:4">
      <c r="A62" t="s">
        <v>65</v>
      </c>
      <c r="B62" t="s">
        <v>82</v>
      </c>
      <c r="C62">
        <v>2</v>
      </c>
      <c r="D62">
        <v>0</v>
      </c>
    </row>
    <row r="63" spans="1:4">
      <c r="A63" t="s">
        <v>66</v>
      </c>
      <c r="B63" t="s">
        <v>82</v>
      </c>
      <c r="C63">
        <v>2</v>
      </c>
      <c r="D63">
        <v>0</v>
      </c>
    </row>
    <row r="64" spans="1:4">
      <c r="A64" t="s">
        <v>67</v>
      </c>
      <c r="B64" t="s">
        <v>82</v>
      </c>
      <c r="C64">
        <v>2</v>
      </c>
      <c r="D64">
        <v>0</v>
      </c>
    </row>
    <row r="65" spans="1:4">
      <c r="A65" t="s">
        <v>68</v>
      </c>
      <c r="B65" t="s">
        <v>82</v>
      </c>
      <c r="C65">
        <v>2</v>
      </c>
      <c r="D65">
        <v>0</v>
      </c>
    </row>
    <row r="66" spans="1:4">
      <c r="A66" t="s">
        <v>69</v>
      </c>
      <c r="B66" t="s">
        <v>82</v>
      </c>
      <c r="C66">
        <v>2</v>
      </c>
      <c r="D66">
        <v>0</v>
      </c>
    </row>
    <row r="67" spans="1:4">
      <c r="A67" t="s">
        <v>58</v>
      </c>
      <c r="B67" t="s">
        <v>82</v>
      </c>
      <c r="C67">
        <v>2</v>
      </c>
      <c r="D67">
        <v>0</v>
      </c>
    </row>
    <row r="68" spans="1:4">
      <c r="A68" t="s">
        <v>59</v>
      </c>
      <c r="B68" t="s">
        <v>82</v>
      </c>
      <c r="C68">
        <v>2</v>
      </c>
      <c r="D68">
        <v>0</v>
      </c>
    </row>
    <row r="69" spans="1:4">
      <c r="A69" t="s">
        <v>60</v>
      </c>
      <c r="B69" t="s">
        <v>82</v>
      </c>
      <c r="C69">
        <v>2</v>
      </c>
      <c r="D69">
        <v>0</v>
      </c>
    </row>
    <row r="70" spans="1:4">
      <c r="A70" t="s">
        <v>61</v>
      </c>
      <c r="B70" t="s">
        <v>82</v>
      </c>
      <c r="C70">
        <v>2</v>
      </c>
      <c r="D70">
        <v>0</v>
      </c>
    </row>
    <row r="71" spans="1:4">
      <c r="A71" t="s">
        <v>62</v>
      </c>
      <c r="B71" t="s">
        <v>82</v>
      </c>
      <c r="C71">
        <v>2</v>
      </c>
      <c r="D71">
        <v>0</v>
      </c>
    </row>
    <row r="72" spans="1:4">
      <c r="A72" t="s">
        <v>63</v>
      </c>
      <c r="B72" t="s">
        <v>82</v>
      </c>
      <c r="C72">
        <v>2</v>
      </c>
      <c r="D72">
        <v>0</v>
      </c>
    </row>
    <row r="73" spans="1:4">
      <c r="A73" t="s">
        <v>64</v>
      </c>
      <c r="B73" t="s">
        <v>82</v>
      </c>
      <c r="C73">
        <v>2</v>
      </c>
      <c r="D73">
        <v>0</v>
      </c>
    </row>
    <row r="74" spans="1:4">
      <c r="A74" t="s">
        <v>35</v>
      </c>
      <c r="B74" t="s">
        <v>82</v>
      </c>
      <c r="C74">
        <v>3</v>
      </c>
      <c r="D74">
        <v>0</v>
      </c>
    </row>
    <row r="75" spans="1:4">
      <c r="A75" t="s">
        <v>36</v>
      </c>
      <c r="B75" t="s">
        <v>82</v>
      </c>
      <c r="C75">
        <v>3</v>
      </c>
      <c r="D75">
        <v>0</v>
      </c>
    </row>
    <row r="76" spans="1:4">
      <c r="A76" t="s">
        <v>37</v>
      </c>
      <c r="B76" t="s">
        <v>82</v>
      </c>
      <c r="C76">
        <v>3</v>
      </c>
      <c r="D76">
        <v>0</v>
      </c>
    </row>
    <row r="77" spans="1:4">
      <c r="A77" t="s">
        <v>38</v>
      </c>
      <c r="B77" t="s">
        <v>82</v>
      </c>
      <c r="C77">
        <v>3</v>
      </c>
      <c r="D77">
        <v>0</v>
      </c>
    </row>
    <row r="78" spans="1:4">
      <c r="A78" t="s">
        <v>39</v>
      </c>
      <c r="B78" t="s">
        <v>82</v>
      </c>
      <c r="C78">
        <v>3</v>
      </c>
      <c r="D78">
        <v>0</v>
      </c>
    </row>
    <row r="79" spans="1:4">
      <c r="A79" t="s">
        <v>40</v>
      </c>
      <c r="B79" t="s">
        <v>82</v>
      </c>
      <c r="C79">
        <v>3</v>
      </c>
      <c r="D79">
        <v>0</v>
      </c>
    </row>
    <row r="80" spans="1:4">
      <c r="A80" t="s">
        <v>41</v>
      </c>
      <c r="B80" t="s">
        <v>82</v>
      </c>
      <c r="C80">
        <v>3</v>
      </c>
      <c r="D80">
        <v>0</v>
      </c>
    </row>
    <row r="81" spans="1:4">
      <c r="A81" t="s">
        <v>42</v>
      </c>
      <c r="B81" t="s">
        <v>82</v>
      </c>
      <c r="C81">
        <v>3</v>
      </c>
      <c r="D81">
        <v>0</v>
      </c>
    </row>
    <row r="82" spans="1:4">
      <c r="A82" t="s">
        <v>43</v>
      </c>
      <c r="B82" t="s">
        <v>82</v>
      </c>
      <c r="C82">
        <v>3</v>
      </c>
      <c r="D82">
        <v>0</v>
      </c>
    </row>
    <row r="83" spans="1:4">
      <c r="A83" t="s">
        <v>44</v>
      </c>
      <c r="B83" t="s">
        <v>82</v>
      </c>
      <c r="C83">
        <v>3</v>
      </c>
      <c r="D83">
        <v>0</v>
      </c>
    </row>
    <row r="84" spans="1:4">
      <c r="A84" t="s">
        <v>45</v>
      </c>
      <c r="B84" t="s">
        <v>82</v>
      </c>
      <c r="C84">
        <v>3</v>
      </c>
      <c r="D84">
        <v>0</v>
      </c>
    </row>
    <row r="85" spans="1:4">
      <c r="A85" t="s">
        <v>46</v>
      </c>
      <c r="B85" t="s">
        <v>82</v>
      </c>
      <c r="C85">
        <v>3</v>
      </c>
      <c r="D85">
        <v>0</v>
      </c>
    </row>
    <row r="86" spans="1:4">
      <c r="A86" t="s">
        <v>47</v>
      </c>
      <c r="B86" t="s">
        <v>82</v>
      </c>
      <c r="C86">
        <v>3</v>
      </c>
      <c r="D86">
        <v>0</v>
      </c>
    </row>
    <row r="87" spans="1:4">
      <c r="A87" t="s">
        <v>48</v>
      </c>
      <c r="B87" t="s">
        <v>82</v>
      </c>
      <c r="C87">
        <v>3</v>
      </c>
      <c r="D87">
        <v>0</v>
      </c>
    </row>
    <row r="88" spans="1:4">
      <c r="A88" t="s">
        <v>49</v>
      </c>
      <c r="B88" t="s">
        <v>82</v>
      </c>
      <c r="C88">
        <v>3</v>
      </c>
      <c r="D88">
        <v>0</v>
      </c>
    </row>
    <row r="89" spans="1:4">
      <c r="A89" t="s">
        <v>50</v>
      </c>
      <c r="B89" t="s">
        <v>82</v>
      </c>
      <c r="C89">
        <v>3</v>
      </c>
      <c r="D89">
        <v>0</v>
      </c>
    </row>
    <row r="90" spans="1:4">
      <c r="A90" t="s">
        <v>51</v>
      </c>
      <c r="B90" t="s">
        <v>82</v>
      </c>
      <c r="C90">
        <v>3</v>
      </c>
      <c r="D90">
        <v>0</v>
      </c>
    </row>
    <row r="91" spans="1:4">
      <c r="A91" t="s">
        <v>52</v>
      </c>
      <c r="B91" t="s">
        <v>82</v>
      </c>
      <c r="C91">
        <v>3</v>
      </c>
      <c r="D91">
        <v>0</v>
      </c>
    </row>
    <row r="92" spans="1:4">
      <c r="A92" t="s">
        <v>53</v>
      </c>
      <c r="B92" t="s">
        <v>82</v>
      </c>
      <c r="C92">
        <v>3</v>
      </c>
      <c r="D92">
        <v>0</v>
      </c>
    </row>
    <row r="93" spans="1:4">
      <c r="A93" t="s">
        <v>54</v>
      </c>
      <c r="B93" t="s">
        <v>82</v>
      </c>
      <c r="C93">
        <v>3</v>
      </c>
      <c r="D93">
        <v>0</v>
      </c>
    </row>
    <row r="94" spans="1:4">
      <c r="A94" t="s">
        <v>55</v>
      </c>
      <c r="B94" t="s">
        <v>82</v>
      </c>
      <c r="C94">
        <v>3</v>
      </c>
      <c r="D94">
        <v>0</v>
      </c>
    </row>
    <row r="95" spans="1:4">
      <c r="A95" t="s">
        <v>56</v>
      </c>
      <c r="B95" t="s">
        <v>82</v>
      </c>
      <c r="C95">
        <v>3</v>
      </c>
      <c r="D95">
        <v>0</v>
      </c>
    </row>
    <row r="96" spans="1:4">
      <c r="A96" t="s">
        <v>57</v>
      </c>
      <c r="B96" t="s">
        <v>82</v>
      </c>
      <c r="C96">
        <v>3</v>
      </c>
      <c r="D96">
        <v>0</v>
      </c>
    </row>
    <row r="97" spans="1:4">
      <c r="A97" t="s">
        <v>65</v>
      </c>
      <c r="B97" t="s">
        <v>82</v>
      </c>
      <c r="C97">
        <v>3</v>
      </c>
      <c r="D97">
        <v>0</v>
      </c>
    </row>
    <row r="98" spans="1:4">
      <c r="A98" t="s">
        <v>66</v>
      </c>
      <c r="B98" t="s">
        <v>82</v>
      </c>
      <c r="C98">
        <v>3</v>
      </c>
      <c r="D98">
        <v>0</v>
      </c>
    </row>
    <row r="99" spans="1:4">
      <c r="A99" t="s">
        <v>67</v>
      </c>
      <c r="B99" t="s">
        <v>82</v>
      </c>
      <c r="C99">
        <v>3</v>
      </c>
      <c r="D99">
        <v>0</v>
      </c>
    </row>
    <row r="100" spans="1:4">
      <c r="A100" t="s">
        <v>68</v>
      </c>
      <c r="B100" t="s">
        <v>82</v>
      </c>
      <c r="C100">
        <v>3</v>
      </c>
      <c r="D100">
        <v>0</v>
      </c>
    </row>
    <row r="101" spans="1:4">
      <c r="A101" t="s">
        <v>69</v>
      </c>
      <c r="B101" t="s">
        <v>82</v>
      </c>
      <c r="C101">
        <v>3</v>
      </c>
      <c r="D101">
        <v>0</v>
      </c>
    </row>
    <row r="102" spans="1:4">
      <c r="A102" t="s">
        <v>58</v>
      </c>
      <c r="B102" t="s">
        <v>82</v>
      </c>
      <c r="C102">
        <v>3</v>
      </c>
      <c r="D102">
        <v>0</v>
      </c>
    </row>
    <row r="103" spans="1:4">
      <c r="A103" t="s">
        <v>59</v>
      </c>
      <c r="B103" t="s">
        <v>82</v>
      </c>
      <c r="C103">
        <v>3</v>
      </c>
      <c r="D103">
        <v>0</v>
      </c>
    </row>
    <row r="104" spans="1:4">
      <c r="A104" t="s">
        <v>60</v>
      </c>
      <c r="B104" t="s">
        <v>82</v>
      </c>
      <c r="C104">
        <v>3</v>
      </c>
      <c r="D104">
        <v>0</v>
      </c>
    </row>
    <row r="105" spans="1:4">
      <c r="A105" t="s">
        <v>61</v>
      </c>
      <c r="B105" t="s">
        <v>82</v>
      </c>
      <c r="C105">
        <v>3</v>
      </c>
      <c r="D105">
        <v>0</v>
      </c>
    </row>
    <row r="106" spans="1:4">
      <c r="A106" t="s">
        <v>62</v>
      </c>
      <c r="B106" t="s">
        <v>82</v>
      </c>
      <c r="C106">
        <v>3</v>
      </c>
      <c r="D106">
        <v>0</v>
      </c>
    </row>
    <row r="107" spans="1:4">
      <c r="A107" t="s">
        <v>63</v>
      </c>
      <c r="B107" t="s">
        <v>82</v>
      </c>
      <c r="C107">
        <v>3</v>
      </c>
      <c r="D107">
        <v>0</v>
      </c>
    </row>
    <row r="108" spans="1:4">
      <c r="A108" t="s">
        <v>64</v>
      </c>
      <c r="B108" t="s">
        <v>82</v>
      </c>
      <c r="C108">
        <v>3</v>
      </c>
      <c r="D108">
        <v>0</v>
      </c>
    </row>
    <row r="109" spans="1:4">
      <c r="A109" t="s">
        <v>35</v>
      </c>
      <c r="B109" t="s">
        <v>82</v>
      </c>
      <c r="C109">
        <v>4</v>
      </c>
      <c r="D109">
        <v>0</v>
      </c>
    </row>
    <row r="110" spans="1:4">
      <c r="A110" t="s">
        <v>36</v>
      </c>
      <c r="B110" t="s">
        <v>82</v>
      </c>
      <c r="C110">
        <v>4</v>
      </c>
      <c r="D110">
        <v>0</v>
      </c>
    </row>
    <row r="111" spans="1:4">
      <c r="A111" t="s">
        <v>37</v>
      </c>
      <c r="B111" t="s">
        <v>82</v>
      </c>
      <c r="C111">
        <v>4</v>
      </c>
      <c r="D111">
        <v>0</v>
      </c>
    </row>
    <row r="112" spans="1:4">
      <c r="A112" t="s">
        <v>38</v>
      </c>
      <c r="B112" t="s">
        <v>82</v>
      </c>
      <c r="C112">
        <v>4</v>
      </c>
      <c r="D112">
        <v>0</v>
      </c>
    </row>
    <row r="113" spans="1:4">
      <c r="A113" t="s">
        <v>39</v>
      </c>
      <c r="B113" t="s">
        <v>82</v>
      </c>
      <c r="C113">
        <v>4</v>
      </c>
      <c r="D113">
        <v>0</v>
      </c>
    </row>
    <row r="114" spans="1:4">
      <c r="A114" t="s">
        <v>40</v>
      </c>
      <c r="B114" t="s">
        <v>82</v>
      </c>
      <c r="C114">
        <v>4</v>
      </c>
      <c r="D114">
        <v>0</v>
      </c>
    </row>
    <row r="115" spans="1:4">
      <c r="A115" t="s">
        <v>41</v>
      </c>
      <c r="B115" t="s">
        <v>82</v>
      </c>
      <c r="C115">
        <v>4</v>
      </c>
      <c r="D115">
        <v>0</v>
      </c>
    </row>
    <row r="116" spans="1:4">
      <c r="A116" t="s">
        <v>42</v>
      </c>
      <c r="B116" t="s">
        <v>82</v>
      </c>
      <c r="C116">
        <v>4</v>
      </c>
      <c r="D116">
        <v>0</v>
      </c>
    </row>
    <row r="117" spans="1:4">
      <c r="A117" t="s">
        <v>43</v>
      </c>
      <c r="B117" t="s">
        <v>82</v>
      </c>
      <c r="C117">
        <v>4</v>
      </c>
      <c r="D117">
        <v>0</v>
      </c>
    </row>
    <row r="118" spans="1:4">
      <c r="A118" t="s">
        <v>44</v>
      </c>
      <c r="B118" t="s">
        <v>82</v>
      </c>
      <c r="C118">
        <v>4</v>
      </c>
      <c r="D118">
        <v>0</v>
      </c>
    </row>
    <row r="119" spans="1:4">
      <c r="A119" t="s">
        <v>45</v>
      </c>
      <c r="B119" t="s">
        <v>82</v>
      </c>
      <c r="C119">
        <v>4</v>
      </c>
      <c r="D119">
        <v>0</v>
      </c>
    </row>
    <row r="120" spans="1:4">
      <c r="A120" t="s">
        <v>46</v>
      </c>
      <c r="B120" t="s">
        <v>82</v>
      </c>
      <c r="C120">
        <v>4</v>
      </c>
      <c r="D120">
        <v>0</v>
      </c>
    </row>
    <row r="121" spans="1:4">
      <c r="A121" t="s">
        <v>47</v>
      </c>
      <c r="B121" t="s">
        <v>82</v>
      </c>
      <c r="C121">
        <v>4</v>
      </c>
      <c r="D121">
        <v>0</v>
      </c>
    </row>
    <row r="122" spans="1:4">
      <c r="A122" t="s">
        <v>48</v>
      </c>
      <c r="B122" t="s">
        <v>82</v>
      </c>
      <c r="C122">
        <v>4</v>
      </c>
      <c r="D122">
        <v>0</v>
      </c>
    </row>
    <row r="123" spans="1:4">
      <c r="A123" t="s">
        <v>49</v>
      </c>
      <c r="B123" t="s">
        <v>82</v>
      </c>
      <c r="C123">
        <v>4</v>
      </c>
      <c r="D123">
        <v>0</v>
      </c>
    </row>
    <row r="124" spans="1:4">
      <c r="A124" t="s">
        <v>50</v>
      </c>
      <c r="B124" t="s">
        <v>82</v>
      </c>
      <c r="C124">
        <v>4</v>
      </c>
      <c r="D124">
        <v>0</v>
      </c>
    </row>
    <row r="125" spans="1:4">
      <c r="A125" t="s">
        <v>51</v>
      </c>
      <c r="B125" t="s">
        <v>82</v>
      </c>
      <c r="C125">
        <v>4</v>
      </c>
      <c r="D125">
        <v>0</v>
      </c>
    </row>
    <row r="126" spans="1:4">
      <c r="A126" t="s">
        <v>52</v>
      </c>
      <c r="B126" t="s">
        <v>82</v>
      </c>
      <c r="C126">
        <v>4</v>
      </c>
      <c r="D126">
        <v>0</v>
      </c>
    </row>
    <row r="127" spans="1:4">
      <c r="A127" t="s">
        <v>53</v>
      </c>
      <c r="B127" t="s">
        <v>82</v>
      </c>
      <c r="C127">
        <v>4</v>
      </c>
      <c r="D127">
        <v>0</v>
      </c>
    </row>
    <row r="128" spans="1:4">
      <c r="A128" t="s">
        <v>54</v>
      </c>
      <c r="B128" t="s">
        <v>82</v>
      </c>
      <c r="C128">
        <v>4</v>
      </c>
      <c r="D128">
        <v>0</v>
      </c>
    </row>
    <row r="129" spans="1:4">
      <c r="A129" t="s">
        <v>55</v>
      </c>
      <c r="B129" t="s">
        <v>82</v>
      </c>
      <c r="C129">
        <v>4</v>
      </c>
      <c r="D129">
        <v>0</v>
      </c>
    </row>
    <row r="130" spans="1:4">
      <c r="A130" t="s">
        <v>56</v>
      </c>
      <c r="B130" t="s">
        <v>82</v>
      </c>
      <c r="C130">
        <v>4</v>
      </c>
      <c r="D130">
        <v>0</v>
      </c>
    </row>
    <row r="131" spans="1:4">
      <c r="A131" t="s">
        <v>57</v>
      </c>
      <c r="B131" t="s">
        <v>82</v>
      </c>
      <c r="C131">
        <v>4</v>
      </c>
      <c r="D131">
        <v>0</v>
      </c>
    </row>
    <row r="132" spans="1:4">
      <c r="A132" t="s">
        <v>65</v>
      </c>
      <c r="B132" t="s">
        <v>82</v>
      </c>
      <c r="C132">
        <v>4</v>
      </c>
      <c r="D132">
        <v>0</v>
      </c>
    </row>
    <row r="133" spans="1:4">
      <c r="A133" t="s">
        <v>66</v>
      </c>
      <c r="B133" t="s">
        <v>82</v>
      </c>
      <c r="C133">
        <v>4</v>
      </c>
      <c r="D133">
        <v>0</v>
      </c>
    </row>
    <row r="134" spans="1:4">
      <c r="A134" t="s">
        <v>67</v>
      </c>
      <c r="B134" t="s">
        <v>82</v>
      </c>
      <c r="C134">
        <v>4</v>
      </c>
      <c r="D134">
        <v>0</v>
      </c>
    </row>
    <row r="135" spans="1:4">
      <c r="A135" t="s">
        <v>68</v>
      </c>
      <c r="B135" t="s">
        <v>82</v>
      </c>
      <c r="C135">
        <v>4</v>
      </c>
      <c r="D135">
        <v>0</v>
      </c>
    </row>
    <row r="136" spans="1:4">
      <c r="A136" t="s">
        <v>69</v>
      </c>
      <c r="B136" t="s">
        <v>82</v>
      </c>
      <c r="C136">
        <v>4</v>
      </c>
      <c r="D136">
        <v>0</v>
      </c>
    </row>
    <row r="137" spans="1:4">
      <c r="A137" t="s">
        <v>58</v>
      </c>
      <c r="B137" t="s">
        <v>82</v>
      </c>
      <c r="C137">
        <v>4</v>
      </c>
      <c r="D137">
        <v>0</v>
      </c>
    </row>
    <row r="138" spans="1:4">
      <c r="A138" t="s">
        <v>59</v>
      </c>
      <c r="B138" t="s">
        <v>82</v>
      </c>
      <c r="C138">
        <v>4</v>
      </c>
      <c r="D138">
        <v>0</v>
      </c>
    </row>
    <row r="139" spans="1:4">
      <c r="A139" t="s">
        <v>60</v>
      </c>
      <c r="B139" t="s">
        <v>82</v>
      </c>
      <c r="C139">
        <v>4</v>
      </c>
      <c r="D139">
        <v>0</v>
      </c>
    </row>
    <row r="140" spans="1:4">
      <c r="A140" t="s">
        <v>61</v>
      </c>
      <c r="B140" t="s">
        <v>82</v>
      </c>
      <c r="C140">
        <v>4</v>
      </c>
      <c r="D140">
        <v>0</v>
      </c>
    </row>
    <row r="141" spans="1:4">
      <c r="A141" t="s">
        <v>62</v>
      </c>
      <c r="B141" t="s">
        <v>82</v>
      </c>
      <c r="C141">
        <v>4</v>
      </c>
      <c r="D141">
        <v>0</v>
      </c>
    </row>
    <row r="142" spans="1:4">
      <c r="A142" t="s">
        <v>63</v>
      </c>
      <c r="B142" t="s">
        <v>82</v>
      </c>
      <c r="C142">
        <v>4</v>
      </c>
      <c r="D142">
        <v>0</v>
      </c>
    </row>
    <row r="143" spans="1:4">
      <c r="A143" t="s">
        <v>64</v>
      </c>
      <c r="B143" t="s">
        <v>82</v>
      </c>
      <c r="C143">
        <v>4</v>
      </c>
      <c r="D143">
        <v>0</v>
      </c>
    </row>
    <row r="144" spans="1:4">
      <c r="A144" t="s">
        <v>35</v>
      </c>
      <c r="B144" t="s">
        <v>82</v>
      </c>
      <c r="C144">
        <v>5</v>
      </c>
      <c r="D144">
        <v>0</v>
      </c>
    </row>
    <row r="145" spans="1:4">
      <c r="A145" t="s">
        <v>36</v>
      </c>
      <c r="B145" t="s">
        <v>82</v>
      </c>
      <c r="C145">
        <v>5</v>
      </c>
      <c r="D145">
        <v>0</v>
      </c>
    </row>
    <row r="146" spans="1:4">
      <c r="A146" t="s">
        <v>37</v>
      </c>
      <c r="B146" t="s">
        <v>82</v>
      </c>
      <c r="C146">
        <v>5</v>
      </c>
      <c r="D146">
        <v>0</v>
      </c>
    </row>
    <row r="147" spans="1:4">
      <c r="A147" t="s">
        <v>38</v>
      </c>
      <c r="B147" t="s">
        <v>82</v>
      </c>
      <c r="C147">
        <v>5</v>
      </c>
      <c r="D147">
        <v>0</v>
      </c>
    </row>
    <row r="148" spans="1:4">
      <c r="A148" t="s">
        <v>39</v>
      </c>
      <c r="B148" t="s">
        <v>82</v>
      </c>
      <c r="C148">
        <v>5</v>
      </c>
      <c r="D148">
        <v>0</v>
      </c>
    </row>
    <row r="149" spans="1:4">
      <c r="A149" t="s">
        <v>40</v>
      </c>
      <c r="B149" t="s">
        <v>82</v>
      </c>
      <c r="C149">
        <v>5</v>
      </c>
      <c r="D149">
        <v>0</v>
      </c>
    </row>
    <row r="150" spans="1:4">
      <c r="A150" t="s">
        <v>41</v>
      </c>
      <c r="B150" t="s">
        <v>82</v>
      </c>
      <c r="C150">
        <v>5</v>
      </c>
      <c r="D150">
        <v>0</v>
      </c>
    </row>
    <row r="151" spans="1:4">
      <c r="A151" t="s">
        <v>42</v>
      </c>
      <c r="B151" t="s">
        <v>82</v>
      </c>
      <c r="C151">
        <v>5</v>
      </c>
      <c r="D151">
        <v>0</v>
      </c>
    </row>
    <row r="152" spans="1:4">
      <c r="A152" t="s">
        <v>43</v>
      </c>
      <c r="B152" t="s">
        <v>82</v>
      </c>
      <c r="C152">
        <v>5</v>
      </c>
      <c r="D152">
        <v>0</v>
      </c>
    </row>
    <row r="153" spans="1:4">
      <c r="A153" t="s">
        <v>44</v>
      </c>
      <c r="B153" t="s">
        <v>82</v>
      </c>
      <c r="C153">
        <v>5</v>
      </c>
      <c r="D153">
        <v>0</v>
      </c>
    </row>
    <row r="154" spans="1:4">
      <c r="A154" t="s">
        <v>45</v>
      </c>
      <c r="B154" t="s">
        <v>82</v>
      </c>
      <c r="C154">
        <v>5</v>
      </c>
      <c r="D154">
        <v>0</v>
      </c>
    </row>
    <row r="155" spans="1:4">
      <c r="A155" t="s">
        <v>46</v>
      </c>
      <c r="B155" t="s">
        <v>82</v>
      </c>
      <c r="C155">
        <v>5</v>
      </c>
      <c r="D155">
        <v>0</v>
      </c>
    </row>
    <row r="156" spans="1:4">
      <c r="A156" t="s">
        <v>47</v>
      </c>
      <c r="B156" t="s">
        <v>82</v>
      </c>
      <c r="C156">
        <v>5</v>
      </c>
      <c r="D156">
        <v>0</v>
      </c>
    </row>
    <row r="157" spans="1:4">
      <c r="A157" t="s">
        <v>48</v>
      </c>
      <c r="B157" t="s">
        <v>82</v>
      </c>
      <c r="C157">
        <v>5</v>
      </c>
      <c r="D157">
        <v>0</v>
      </c>
    </row>
    <row r="158" spans="1:4">
      <c r="A158" t="s">
        <v>49</v>
      </c>
      <c r="B158" t="s">
        <v>82</v>
      </c>
      <c r="C158">
        <v>5</v>
      </c>
      <c r="D158">
        <v>0</v>
      </c>
    </row>
    <row r="159" spans="1:4">
      <c r="A159" t="s">
        <v>50</v>
      </c>
      <c r="B159" t="s">
        <v>82</v>
      </c>
      <c r="C159">
        <v>5</v>
      </c>
      <c r="D159">
        <v>0</v>
      </c>
    </row>
    <row r="160" spans="1:4">
      <c r="A160" t="s">
        <v>51</v>
      </c>
      <c r="B160" t="s">
        <v>82</v>
      </c>
      <c r="C160">
        <v>5</v>
      </c>
      <c r="D160">
        <v>0</v>
      </c>
    </row>
    <row r="161" spans="1:4">
      <c r="A161" t="s">
        <v>52</v>
      </c>
      <c r="B161" t="s">
        <v>82</v>
      </c>
      <c r="C161">
        <v>5</v>
      </c>
      <c r="D161">
        <v>0</v>
      </c>
    </row>
    <row r="162" spans="1:4">
      <c r="A162" t="s">
        <v>53</v>
      </c>
      <c r="B162" t="s">
        <v>82</v>
      </c>
      <c r="C162">
        <v>5</v>
      </c>
      <c r="D162">
        <v>0</v>
      </c>
    </row>
    <row r="163" spans="1:4">
      <c r="A163" t="s">
        <v>54</v>
      </c>
      <c r="B163" t="s">
        <v>82</v>
      </c>
      <c r="C163">
        <v>5</v>
      </c>
      <c r="D163">
        <v>0</v>
      </c>
    </row>
    <row r="164" spans="1:4">
      <c r="A164" t="s">
        <v>55</v>
      </c>
      <c r="B164" t="s">
        <v>82</v>
      </c>
      <c r="C164">
        <v>5</v>
      </c>
      <c r="D164">
        <v>0</v>
      </c>
    </row>
    <row r="165" spans="1:4">
      <c r="A165" t="s">
        <v>56</v>
      </c>
      <c r="B165" t="s">
        <v>82</v>
      </c>
      <c r="C165">
        <v>5</v>
      </c>
      <c r="D165">
        <v>0</v>
      </c>
    </row>
    <row r="166" spans="1:4">
      <c r="A166" t="s">
        <v>57</v>
      </c>
      <c r="B166" t="s">
        <v>82</v>
      </c>
      <c r="C166">
        <v>5</v>
      </c>
      <c r="D166">
        <v>0</v>
      </c>
    </row>
    <row r="167" spans="1:4">
      <c r="A167" t="s">
        <v>65</v>
      </c>
      <c r="B167" t="s">
        <v>82</v>
      </c>
      <c r="C167">
        <v>5</v>
      </c>
      <c r="D167">
        <v>0</v>
      </c>
    </row>
    <row r="168" spans="1:4">
      <c r="A168" t="s">
        <v>66</v>
      </c>
      <c r="B168" t="s">
        <v>82</v>
      </c>
      <c r="C168">
        <v>5</v>
      </c>
      <c r="D168">
        <v>0</v>
      </c>
    </row>
    <row r="169" spans="1:4">
      <c r="A169" t="s">
        <v>67</v>
      </c>
      <c r="B169" t="s">
        <v>82</v>
      </c>
      <c r="C169">
        <v>5</v>
      </c>
      <c r="D169">
        <v>0</v>
      </c>
    </row>
    <row r="170" spans="1:4">
      <c r="A170" t="s">
        <v>68</v>
      </c>
      <c r="B170" t="s">
        <v>82</v>
      </c>
      <c r="C170">
        <v>5</v>
      </c>
      <c r="D170">
        <v>0</v>
      </c>
    </row>
    <row r="171" spans="1:4">
      <c r="A171" t="s">
        <v>69</v>
      </c>
      <c r="B171" t="s">
        <v>82</v>
      </c>
      <c r="C171">
        <v>5</v>
      </c>
      <c r="D171">
        <v>0</v>
      </c>
    </row>
    <row r="172" spans="1:4">
      <c r="A172" t="s">
        <v>58</v>
      </c>
      <c r="B172" t="s">
        <v>82</v>
      </c>
      <c r="C172">
        <v>5</v>
      </c>
      <c r="D172">
        <v>0</v>
      </c>
    </row>
    <row r="173" spans="1:4">
      <c r="A173" t="s">
        <v>59</v>
      </c>
      <c r="B173" t="s">
        <v>82</v>
      </c>
      <c r="C173">
        <v>5</v>
      </c>
      <c r="D173">
        <v>0</v>
      </c>
    </row>
    <row r="174" spans="1:4">
      <c r="A174" t="s">
        <v>60</v>
      </c>
      <c r="B174" t="s">
        <v>82</v>
      </c>
      <c r="C174">
        <v>5</v>
      </c>
      <c r="D174">
        <v>0</v>
      </c>
    </row>
    <row r="175" spans="1:4">
      <c r="A175" t="s">
        <v>61</v>
      </c>
      <c r="B175" t="s">
        <v>82</v>
      </c>
      <c r="C175">
        <v>5</v>
      </c>
      <c r="D175">
        <v>0</v>
      </c>
    </row>
    <row r="176" spans="1:4">
      <c r="A176" t="s">
        <v>62</v>
      </c>
      <c r="B176" t="s">
        <v>82</v>
      </c>
      <c r="C176">
        <v>5</v>
      </c>
      <c r="D176">
        <v>0</v>
      </c>
    </row>
    <row r="177" spans="1:4">
      <c r="A177" t="s">
        <v>63</v>
      </c>
      <c r="B177" t="s">
        <v>82</v>
      </c>
      <c r="C177">
        <v>5</v>
      </c>
      <c r="D177">
        <v>0</v>
      </c>
    </row>
    <row r="178" spans="1:4">
      <c r="A178" t="s">
        <v>64</v>
      </c>
      <c r="B178" t="s">
        <v>82</v>
      </c>
      <c r="C178">
        <v>5</v>
      </c>
      <c r="D178">
        <v>0</v>
      </c>
    </row>
    <row r="179" spans="1:4">
      <c r="A179" t="s">
        <v>35</v>
      </c>
      <c r="B179" t="s">
        <v>82</v>
      </c>
      <c r="C179">
        <v>6</v>
      </c>
      <c r="D179">
        <v>0</v>
      </c>
    </row>
    <row r="180" spans="1:4">
      <c r="A180" t="s">
        <v>36</v>
      </c>
      <c r="B180" t="s">
        <v>82</v>
      </c>
      <c r="C180">
        <v>6</v>
      </c>
      <c r="D180">
        <v>0</v>
      </c>
    </row>
    <row r="181" spans="1:4">
      <c r="A181" t="s">
        <v>37</v>
      </c>
      <c r="B181" t="s">
        <v>82</v>
      </c>
      <c r="C181">
        <v>6</v>
      </c>
      <c r="D181">
        <v>0</v>
      </c>
    </row>
    <row r="182" spans="1:4">
      <c r="A182" t="s">
        <v>38</v>
      </c>
      <c r="B182" t="s">
        <v>82</v>
      </c>
      <c r="C182">
        <v>6</v>
      </c>
      <c r="D182">
        <v>0</v>
      </c>
    </row>
    <row r="183" spans="1:4">
      <c r="A183" t="s">
        <v>39</v>
      </c>
      <c r="B183" t="s">
        <v>82</v>
      </c>
      <c r="C183">
        <v>6</v>
      </c>
      <c r="D183">
        <v>0</v>
      </c>
    </row>
    <row r="184" spans="1:4">
      <c r="A184" t="s">
        <v>40</v>
      </c>
      <c r="B184" t="s">
        <v>82</v>
      </c>
      <c r="C184">
        <v>6</v>
      </c>
      <c r="D184">
        <v>0</v>
      </c>
    </row>
    <row r="185" spans="1:4">
      <c r="A185" t="s">
        <v>41</v>
      </c>
      <c r="B185" t="s">
        <v>82</v>
      </c>
      <c r="C185">
        <v>6</v>
      </c>
      <c r="D185">
        <v>0</v>
      </c>
    </row>
    <row r="186" spans="1:4">
      <c r="A186" t="s">
        <v>42</v>
      </c>
      <c r="B186" t="s">
        <v>82</v>
      </c>
      <c r="C186">
        <v>6</v>
      </c>
      <c r="D186">
        <v>0</v>
      </c>
    </row>
    <row r="187" spans="1:4">
      <c r="A187" t="s">
        <v>43</v>
      </c>
      <c r="B187" t="s">
        <v>82</v>
      </c>
      <c r="C187">
        <v>6</v>
      </c>
      <c r="D187">
        <v>0</v>
      </c>
    </row>
    <row r="188" spans="1:4">
      <c r="A188" t="s">
        <v>44</v>
      </c>
      <c r="B188" t="s">
        <v>82</v>
      </c>
      <c r="C188">
        <v>6</v>
      </c>
      <c r="D188">
        <v>0</v>
      </c>
    </row>
    <row r="189" spans="1:4">
      <c r="A189" t="s">
        <v>45</v>
      </c>
      <c r="B189" t="s">
        <v>82</v>
      </c>
      <c r="C189">
        <v>6</v>
      </c>
      <c r="D189">
        <v>0</v>
      </c>
    </row>
    <row r="190" spans="1:4">
      <c r="A190" t="s">
        <v>46</v>
      </c>
      <c r="B190" t="s">
        <v>82</v>
      </c>
      <c r="C190">
        <v>6</v>
      </c>
      <c r="D190">
        <v>0</v>
      </c>
    </row>
    <row r="191" spans="1:4">
      <c r="A191" t="s">
        <v>47</v>
      </c>
      <c r="B191" t="s">
        <v>82</v>
      </c>
      <c r="C191">
        <v>6</v>
      </c>
      <c r="D191">
        <v>0</v>
      </c>
    </row>
    <row r="192" spans="1:4">
      <c r="A192" t="s">
        <v>48</v>
      </c>
      <c r="B192" t="s">
        <v>82</v>
      </c>
      <c r="C192">
        <v>6</v>
      </c>
      <c r="D192">
        <v>0</v>
      </c>
    </row>
    <row r="193" spans="1:4">
      <c r="A193" t="s">
        <v>49</v>
      </c>
      <c r="B193" t="s">
        <v>82</v>
      </c>
      <c r="C193">
        <v>6</v>
      </c>
      <c r="D193">
        <v>0</v>
      </c>
    </row>
    <row r="194" spans="1:4">
      <c r="A194" t="s">
        <v>50</v>
      </c>
      <c r="B194" t="s">
        <v>82</v>
      </c>
      <c r="C194">
        <v>6</v>
      </c>
      <c r="D194">
        <v>0</v>
      </c>
    </row>
    <row r="195" spans="1:4">
      <c r="A195" t="s">
        <v>51</v>
      </c>
      <c r="B195" t="s">
        <v>82</v>
      </c>
      <c r="C195">
        <v>6</v>
      </c>
      <c r="D195">
        <v>0</v>
      </c>
    </row>
    <row r="196" spans="1:4">
      <c r="A196" t="s">
        <v>52</v>
      </c>
      <c r="B196" t="s">
        <v>82</v>
      </c>
      <c r="C196">
        <v>6</v>
      </c>
      <c r="D196">
        <v>0</v>
      </c>
    </row>
    <row r="197" spans="1:4">
      <c r="A197" t="s">
        <v>53</v>
      </c>
      <c r="B197" t="s">
        <v>82</v>
      </c>
      <c r="C197">
        <v>6</v>
      </c>
      <c r="D197">
        <v>0</v>
      </c>
    </row>
    <row r="198" spans="1:4">
      <c r="A198" t="s">
        <v>54</v>
      </c>
      <c r="B198" t="s">
        <v>82</v>
      </c>
      <c r="C198">
        <v>6</v>
      </c>
      <c r="D198">
        <v>0</v>
      </c>
    </row>
    <row r="199" spans="1:4">
      <c r="A199" t="s">
        <v>55</v>
      </c>
      <c r="B199" t="s">
        <v>82</v>
      </c>
      <c r="C199">
        <v>6</v>
      </c>
      <c r="D199">
        <v>0</v>
      </c>
    </row>
    <row r="200" spans="1:4">
      <c r="A200" t="s">
        <v>56</v>
      </c>
      <c r="B200" t="s">
        <v>82</v>
      </c>
      <c r="C200">
        <v>6</v>
      </c>
      <c r="D200">
        <v>0</v>
      </c>
    </row>
    <row r="201" spans="1:4">
      <c r="A201" t="s">
        <v>57</v>
      </c>
      <c r="B201" t="s">
        <v>82</v>
      </c>
      <c r="C201">
        <v>6</v>
      </c>
      <c r="D201">
        <v>0</v>
      </c>
    </row>
    <row r="202" spans="1:4">
      <c r="A202" t="s">
        <v>65</v>
      </c>
      <c r="B202" t="s">
        <v>82</v>
      </c>
      <c r="C202">
        <v>6</v>
      </c>
      <c r="D202">
        <v>0</v>
      </c>
    </row>
    <row r="203" spans="1:4">
      <c r="A203" t="s">
        <v>66</v>
      </c>
      <c r="B203" t="s">
        <v>82</v>
      </c>
      <c r="C203">
        <v>6</v>
      </c>
      <c r="D203">
        <v>0</v>
      </c>
    </row>
    <row r="204" spans="1:4">
      <c r="A204" t="s">
        <v>67</v>
      </c>
      <c r="B204" t="s">
        <v>82</v>
      </c>
      <c r="C204">
        <v>6</v>
      </c>
      <c r="D204">
        <v>0</v>
      </c>
    </row>
    <row r="205" spans="1:4">
      <c r="A205" t="s">
        <v>68</v>
      </c>
      <c r="B205" t="s">
        <v>82</v>
      </c>
      <c r="C205">
        <v>6</v>
      </c>
      <c r="D205">
        <v>0</v>
      </c>
    </row>
    <row r="206" spans="1:4">
      <c r="A206" t="s">
        <v>69</v>
      </c>
      <c r="B206" t="s">
        <v>82</v>
      </c>
      <c r="C206">
        <v>6</v>
      </c>
      <c r="D206">
        <v>0</v>
      </c>
    </row>
    <row r="207" spans="1:4">
      <c r="A207" t="s">
        <v>58</v>
      </c>
      <c r="B207" t="s">
        <v>82</v>
      </c>
      <c r="C207">
        <v>6</v>
      </c>
      <c r="D207">
        <v>0</v>
      </c>
    </row>
    <row r="208" spans="1:4">
      <c r="A208" t="s">
        <v>59</v>
      </c>
      <c r="B208" t="s">
        <v>82</v>
      </c>
      <c r="C208">
        <v>6</v>
      </c>
      <c r="D208">
        <v>0</v>
      </c>
    </row>
    <row r="209" spans="1:4">
      <c r="A209" t="s">
        <v>60</v>
      </c>
      <c r="B209" t="s">
        <v>82</v>
      </c>
      <c r="C209">
        <v>6</v>
      </c>
      <c r="D209">
        <v>0</v>
      </c>
    </row>
    <row r="210" spans="1:4">
      <c r="A210" t="s">
        <v>61</v>
      </c>
      <c r="B210" t="s">
        <v>82</v>
      </c>
      <c r="C210">
        <v>6</v>
      </c>
      <c r="D210">
        <v>0</v>
      </c>
    </row>
    <row r="211" spans="1:4">
      <c r="A211" t="s">
        <v>62</v>
      </c>
      <c r="B211" t="s">
        <v>82</v>
      </c>
      <c r="C211">
        <v>6</v>
      </c>
      <c r="D211">
        <v>0</v>
      </c>
    </row>
    <row r="212" spans="1:4">
      <c r="A212" t="s">
        <v>63</v>
      </c>
      <c r="B212" t="s">
        <v>82</v>
      </c>
      <c r="C212">
        <v>6</v>
      </c>
      <c r="D212">
        <v>0</v>
      </c>
    </row>
    <row r="213" spans="1:4">
      <c r="A213" t="s">
        <v>64</v>
      </c>
      <c r="B213" t="s">
        <v>82</v>
      </c>
      <c r="C213">
        <v>6</v>
      </c>
      <c r="D213">
        <v>0</v>
      </c>
    </row>
    <row r="214" spans="1:4">
      <c r="A214" t="s">
        <v>35</v>
      </c>
      <c r="B214" t="s">
        <v>82</v>
      </c>
      <c r="C214">
        <v>7</v>
      </c>
      <c r="D214">
        <v>0</v>
      </c>
    </row>
    <row r="215" spans="1:4">
      <c r="A215" t="s">
        <v>36</v>
      </c>
      <c r="B215" t="s">
        <v>82</v>
      </c>
      <c r="C215">
        <v>7</v>
      </c>
      <c r="D215">
        <v>0</v>
      </c>
    </row>
    <row r="216" spans="1:4">
      <c r="A216" t="s">
        <v>37</v>
      </c>
      <c r="B216" t="s">
        <v>82</v>
      </c>
      <c r="C216">
        <v>7</v>
      </c>
      <c r="D216">
        <v>0</v>
      </c>
    </row>
    <row r="217" spans="1:4">
      <c r="A217" t="s">
        <v>38</v>
      </c>
      <c r="B217" t="s">
        <v>82</v>
      </c>
      <c r="C217">
        <v>7</v>
      </c>
      <c r="D217">
        <v>0</v>
      </c>
    </row>
    <row r="218" spans="1:4">
      <c r="A218" t="s">
        <v>39</v>
      </c>
      <c r="B218" t="s">
        <v>82</v>
      </c>
      <c r="C218">
        <v>7</v>
      </c>
      <c r="D218">
        <v>0</v>
      </c>
    </row>
    <row r="219" spans="1:4">
      <c r="A219" t="s">
        <v>40</v>
      </c>
      <c r="B219" t="s">
        <v>82</v>
      </c>
      <c r="C219">
        <v>7</v>
      </c>
      <c r="D219">
        <v>0</v>
      </c>
    </row>
    <row r="220" spans="1:4">
      <c r="A220" t="s">
        <v>41</v>
      </c>
      <c r="B220" t="s">
        <v>82</v>
      </c>
      <c r="C220">
        <v>7</v>
      </c>
      <c r="D220">
        <v>0</v>
      </c>
    </row>
    <row r="221" spans="1:4">
      <c r="A221" t="s">
        <v>42</v>
      </c>
      <c r="B221" t="s">
        <v>82</v>
      </c>
      <c r="C221">
        <v>7</v>
      </c>
      <c r="D221">
        <v>0</v>
      </c>
    </row>
    <row r="222" spans="1:4">
      <c r="A222" t="s">
        <v>43</v>
      </c>
      <c r="B222" t="s">
        <v>82</v>
      </c>
      <c r="C222">
        <v>7</v>
      </c>
      <c r="D222">
        <v>0</v>
      </c>
    </row>
    <row r="223" spans="1:4">
      <c r="A223" t="s">
        <v>44</v>
      </c>
      <c r="B223" t="s">
        <v>82</v>
      </c>
      <c r="C223">
        <v>7</v>
      </c>
      <c r="D223">
        <v>0</v>
      </c>
    </row>
    <row r="224" spans="1:4">
      <c r="A224" t="s">
        <v>45</v>
      </c>
      <c r="B224" t="s">
        <v>82</v>
      </c>
      <c r="C224">
        <v>7</v>
      </c>
      <c r="D224">
        <v>0</v>
      </c>
    </row>
    <row r="225" spans="1:4">
      <c r="A225" t="s">
        <v>46</v>
      </c>
      <c r="B225" t="s">
        <v>82</v>
      </c>
      <c r="C225">
        <v>7</v>
      </c>
      <c r="D225">
        <v>0</v>
      </c>
    </row>
    <row r="226" spans="1:4">
      <c r="A226" t="s">
        <v>47</v>
      </c>
      <c r="B226" t="s">
        <v>82</v>
      </c>
      <c r="C226">
        <v>7</v>
      </c>
      <c r="D226">
        <v>0</v>
      </c>
    </row>
    <row r="227" spans="1:4">
      <c r="A227" t="s">
        <v>48</v>
      </c>
      <c r="B227" t="s">
        <v>82</v>
      </c>
      <c r="C227">
        <v>7</v>
      </c>
      <c r="D227">
        <v>0</v>
      </c>
    </row>
    <row r="228" spans="1:4">
      <c r="A228" t="s">
        <v>49</v>
      </c>
      <c r="B228" t="s">
        <v>82</v>
      </c>
      <c r="C228">
        <v>7</v>
      </c>
      <c r="D228">
        <v>0</v>
      </c>
    </row>
    <row r="229" spans="1:4">
      <c r="A229" t="s">
        <v>50</v>
      </c>
      <c r="B229" t="s">
        <v>82</v>
      </c>
      <c r="C229">
        <v>7</v>
      </c>
      <c r="D229">
        <v>0</v>
      </c>
    </row>
    <row r="230" spans="1:4">
      <c r="A230" t="s">
        <v>51</v>
      </c>
      <c r="B230" t="s">
        <v>82</v>
      </c>
      <c r="C230">
        <v>7</v>
      </c>
      <c r="D230">
        <v>0</v>
      </c>
    </row>
    <row r="231" spans="1:4">
      <c r="A231" t="s">
        <v>52</v>
      </c>
      <c r="B231" t="s">
        <v>82</v>
      </c>
      <c r="C231">
        <v>7</v>
      </c>
      <c r="D231">
        <v>0</v>
      </c>
    </row>
    <row r="232" spans="1:4">
      <c r="A232" t="s">
        <v>53</v>
      </c>
      <c r="B232" t="s">
        <v>82</v>
      </c>
      <c r="C232">
        <v>7</v>
      </c>
      <c r="D232">
        <v>0</v>
      </c>
    </row>
    <row r="233" spans="1:4">
      <c r="A233" t="s">
        <v>54</v>
      </c>
      <c r="B233" t="s">
        <v>82</v>
      </c>
      <c r="C233">
        <v>7</v>
      </c>
      <c r="D233">
        <v>0</v>
      </c>
    </row>
    <row r="234" spans="1:4">
      <c r="A234" t="s">
        <v>55</v>
      </c>
      <c r="B234" t="s">
        <v>82</v>
      </c>
      <c r="C234">
        <v>7</v>
      </c>
      <c r="D234">
        <v>0</v>
      </c>
    </row>
    <row r="235" spans="1:4">
      <c r="A235" t="s">
        <v>56</v>
      </c>
      <c r="B235" t="s">
        <v>82</v>
      </c>
      <c r="C235">
        <v>7</v>
      </c>
      <c r="D235">
        <v>0</v>
      </c>
    </row>
    <row r="236" spans="1:4">
      <c r="A236" t="s">
        <v>57</v>
      </c>
      <c r="B236" t="s">
        <v>82</v>
      </c>
      <c r="C236">
        <v>7</v>
      </c>
      <c r="D236">
        <v>0</v>
      </c>
    </row>
    <row r="237" spans="1:4">
      <c r="A237" t="s">
        <v>65</v>
      </c>
      <c r="B237" t="s">
        <v>82</v>
      </c>
      <c r="C237">
        <v>7</v>
      </c>
      <c r="D237">
        <v>0</v>
      </c>
    </row>
    <row r="238" spans="1:4">
      <c r="A238" t="s">
        <v>66</v>
      </c>
      <c r="B238" t="s">
        <v>82</v>
      </c>
      <c r="C238">
        <v>7</v>
      </c>
      <c r="D238">
        <v>0</v>
      </c>
    </row>
    <row r="239" spans="1:4">
      <c r="A239" t="s">
        <v>67</v>
      </c>
      <c r="B239" t="s">
        <v>82</v>
      </c>
      <c r="C239">
        <v>7</v>
      </c>
      <c r="D239">
        <v>0</v>
      </c>
    </row>
    <row r="240" spans="1:4">
      <c r="A240" t="s">
        <v>68</v>
      </c>
      <c r="B240" t="s">
        <v>82</v>
      </c>
      <c r="C240">
        <v>7</v>
      </c>
      <c r="D240">
        <v>0</v>
      </c>
    </row>
    <row r="241" spans="1:4">
      <c r="A241" t="s">
        <v>69</v>
      </c>
      <c r="B241" t="s">
        <v>82</v>
      </c>
      <c r="C241">
        <v>7</v>
      </c>
      <c r="D241">
        <v>0</v>
      </c>
    </row>
    <row r="242" spans="1:4">
      <c r="A242" t="s">
        <v>58</v>
      </c>
      <c r="B242" t="s">
        <v>82</v>
      </c>
      <c r="C242">
        <v>7</v>
      </c>
      <c r="D242">
        <v>0</v>
      </c>
    </row>
    <row r="243" spans="1:4">
      <c r="A243" t="s">
        <v>59</v>
      </c>
      <c r="B243" t="s">
        <v>82</v>
      </c>
      <c r="C243">
        <v>7</v>
      </c>
      <c r="D243">
        <v>0</v>
      </c>
    </row>
    <row r="244" spans="1:4">
      <c r="A244" t="s">
        <v>60</v>
      </c>
      <c r="B244" t="s">
        <v>82</v>
      </c>
      <c r="C244">
        <v>7</v>
      </c>
      <c r="D244">
        <v>0</v>
      </c>
    </row>
    <row r="245" spans="1:4">
      <c r="A245" t="s">
        <v>61</v>
      </c>
      <c r="B245" t="s">
        <v>82</v>
      </c>
      <c r="C245">
        <v>7</v>
      </c>
      <c r="D245">
        <v>0</v>
      </c>
    </row>
    <row r="246" spans="1:4">
      <c r="A246" t="s">
        <v>62</v>
      </c>
      <c r="B246" t="s">
        <v>82</v>
      </c>
      <c r="C246">
        <v>7</v>
      </c>
      <c r="D246">
        <v>0</v>
      </c>
    </row>
    <row r="247" spans="1:4">
      <c r="A247" t="s">
        <v>63</v>
      </c>
      <c r="B247" t="s">
        <v>82</v>
      </c>
      <c r="C247">
        <v>7</v>
      </c>
      <c r="D247">
        <v>0</v>
      </c>
    </row>
    <row r="248" spans="1:4">
      <c r="A248" t="s">
        <v>64</v>
      </c>
      <c r="B248" t="s">
        <v>82</v>
      </c>
      <c r="C248">
        <v>7</v>
      </c>
      <c r="D248">
        <v>0</v>
      </c>
    </row>
    <row r="249" spans="1:4">
      <c r="A249" s="11"/>
      <c r="B249" s="11"/>
      <c r="C249" s="11"/>
      <c r="D249" s="11"/>
    </row>
    <row r="250" spans="1:4">
      <c r="A250" s="11"/>
      <c r="B250" s="11"/>
      <c r="C250" s="11"/>
      <c r="D250" s="11"/>
    </row>
    <row r="251" spans="1:4">
      <c r="A251" s="11"/>
      <c r="B251" s="11"/>
      <c r="C251" s="11"/>
      <c r="D251" s="11"/>
    </row>
    <row r="252" spans="1:4">
      <c r="A252" s="11"/>
      <c r="B252" s="11"/>
      <c r="C252" s="11"/>
      <c r="D252" s="11"/>
    </row>
    <row r="253" spans="1:4">
      <c r="A253" s="11"/>
      <c r="B253" s="11"/>
      <c r="C253" s="11"/>
      <c r="D253" s="11"/>
    </row>
    <row r="254" spans="1:4">
      <c r="A254" s="11"/>
      <c r="B254" s="11"/>
      <c r="C254" s="11"/>
      <c r="D254" s="11"/>
    </row>
    <row r="255" spans="1:4">
      <c r="A255" s="11"/>
      <c r="B255" s="11"/>
      <c r="C255" s="11"/>
      <c r="D255" s="11"/>
    </row>
    <row r="256" spans="1:4">
      <c r="A256" s="11"/>
      <c r="B256" s="11"/>
      <c r="C256" s="11"/>
      <c r="D256" s="11"/>
    </row>
    <row r="257" spans="1:4">
      <c r="A257" s="11"/>
      <c r="B257" s="11"/>
      <c r="C257" s="11"/>
      <c r="D257" s="11"/>
    </row>
    <row r="258" spans="1:4">
      <c r="A258" s="11"/>
      <c r="B258" s="11"/>
      <c r="C258" s="11"/>
      <c r="D258" s="11"/>
    </row>
    <row r="259" spans="1:4">
      <c r="A259" s="11"/>
      <c r="B259" s="11"/>
      <c r="C259" s="11"/>
      <c r="D259" s="11"/>
    </row>
    <row r="260" spans="1:4">
      <c r="A260" s="11"/>
      <c r="B260" s="11"/>
      <c r="C260" s="11"/>
      <c r="D260" s="11"/>
    </row>
    <row r="261" spans="1:4">
      <c r="A261" s="11"/>
      <c r="B261" s="11"/>
      <c r="C261" s="11"/>
      <c r="D261" s="11"/>
    </row>
    <row r="262" spans="1:4">
      <c r="A262" s="11"/>
      <c r="B262" s="11"/>
      <c r="C262" s="11"/>
      <c r="D262" s="11"/>
    </row>
    <row r="263" spans="1:4">
      <c r="A263" s="11"/>
      <c r="B263" s="11"/>
      <c r="C263" s="11"/>
      <c r="D263" s="11"/>
    </row>
    <row r="264" spans="1:4">
      <c r="A264" s="11"/>
      <c r="B264" s="11"/>
      <c r="C264" s="11"/>
      <c r="D264" s="11"/>
    </row>
    <row r="265" spans="1:4">
      <c r="A265" s="11"/>
      <c r="B265" s="11"/>
      <c r="C265" s="11"/>
      <c r="D265" s="11"/>
    </row>
    <row r="266" spans="1:4">
      <c r="A266" s="11"/>
      <c r="B266" s="11"/>
      <c r="C266" s="11"/>
      <c r="D266" s="11"/>
    </row>
    <row r="267" spans="1:4">
      <c r="A267" s="11"/>
      <c r="B267" s="11"/>
      <c r="C267" s="11"/>
      <c r="D267" s="11"/>
    </row>
    <row r="268" spans="1:4">
      <c r="A268" s="11"/>
      <c r="B268" s="11"/>
      <c r="C268" s="11"/>
      <c r="D268" s="11"/>
    </row>
    <row r="269" spans="1:4">
      <c r="A269" s="11"/>
      <c r="B269" s="11"/>
      <c r="C269" s="11"/>
      <c r="D269" s="11"/>
    </row>
    <row r="270" spans="1:4">
      <c r="A270" s="11"/>
      <c r="B270" s="11"/>
      <c r="C270" s="11"/>
      <c r="D270" s="11"/>
    </row>
    <row r="271" spans="1:4">
      <c r="A271" s="11"/>
      <c r="B271" s="11"/>
      <c r="C271" s="11"/>
      <c r="D271" s="11"/>
    </row>
    <row r="272" spans="1:4">
      <c r="A272" s="11"/>
      <c r="B272" s="11"/>
      <c r="C272" s="11"/>
      <c r="D272" s="11"/>
    </row>
    <row r="273" spans="1:4">
      <c r="A273" s="11"/>
      <c r="B273" s="11"/>
      <c r="C273" s="11"/>
      <c r="D273" s="11"/>
    </row>
    <row r="274" spans="1:4">
      <c r="A274" s="11"/>
      <c r="B274" s="11"/>
      <c r="C274" s="11"/>
      <c r="D274" s="11"/>
    </row>
    <row r="275" spans="1:4">
      <c r="A275" s="11"/>
      <c r="B275" s="11"/>
      <c r="C275" s="11"/>
      <c r="D275" s="11"/>
    </row>
    <row r="276" spans="1:4">
      <c r="A276" s="11"/>
      <c r="B276" s="11"/>
      <c r="C276" s="11"/>
      <c r="D276" s="11"/>
    </row>
    <row r="277" spans="1:4">
      <c r="A277" s="11"/>
      <c r="B277" s="11"/>
      <c r="C277" s="11"/>
      <c r="D277" s="11"/>
    </row>
    <row r="278" spans="1:4">
      <c r="A278" s="11"/>
      <c r="B278" s="11"/>
      <c r="C278" s="11"/>
      <c r="D278" s="11"/>
    </row>
    <row r="279" spans="1:4">
      <c r="A279" s="11"/>
      <c r="B279" s="11"/>
      <c r="C279" s="11"/>
      <c r="D279" s="11"/>
    </row>
    <row r="280" spans="1:4">
      <c r="A280" s="11"/>
      <c r="B280" s="11"/>
      <c r="C280" s="11"/>
      <c r="D280" s="11"/>
    </row>
    <row r="281" spans="1:4">
      <c r="A281" s="11"/>
      <c r="B281" s="11"/>
      <c r="C281" s="11"/>
      <c r="D281" s="11"/>
    </row>
    <row r="282" spans="1:4">
      <c r="A282" s="11"/>
      <c r="B282" s="11"/>
      <c r="C282" s="11"/>
      <c r="D282" s="11"/>
    </row>
    <row r="283" spans="1:4">
      <c r="A283" s="11"/>
      <c r="B283" s="11"/>
      <c r="C283" s="11"/>
      <c r="D283" s="11"/>
    </row>
    <row r="284" spans="1:4">
      <c r="A284" s="11"/>
      <c r="B284" s="11"/>
      <c r="C284" s="11"/>
      <c r="D284" s="11"/>
    </row>
    <row r="285" spans="1:4">
      <c r="A285" s="11"/>
      <c r="B285" s="11"/>
      <c r="C285" s="11"/>
      <c r="D285" s="11"/>
    </row>
    <row r="286" spans="1:4">
      <c r="A286" s="11"/>
      <c r="B286" s="11"/>
      <c r="C286" s="11"/>
      <c r="D286" s="11"/>
    </row>
    <row r="287" spans="1:4">
      <c r="A287" s="11"/>
      <c r="B287" s="11"/>
      <c r="C287" s="11"/>
      <c r="D287" s="11"/>
    </row>
    <row r="288" spans="1:4">
      <c r="A288" s="11"/>
      <c r="B288" s="11"/>
      <c r="C288" s="11"/>
      <c r="D288" s="11"/>
    </row>
    <row r="289" spans="1:4">
      <c r="A289" s="11"/>
      <c r="B289" s="11"/>
      <c r="C289" s="11"/>
      <c r="D289" s="11"/>
    </row>
    <row r="290" spans="1:4">
      <c r="A290" s="11"/>
      <c r="B290" s="11"/>
      <c r="C290" s="11"/>
      <c r="D290" s="11"/>
    </row>
    <row r="291" spans="1:4">
      <c r="A291" s="11"/>
      <c r="B291" s="11"/>
      <c r="C291" s="11"/>
      <c r="D291" s="11"/>
    </row>
    <row r="292" spans="1:4">
      <c r="A292" s="11"/>
      <c r="B292" s="11"/>
      <c r="C292" s="11"/>
      <c r="D292" s="11"/>
    </row>
    <row r="293" spans="1:4">
      <c r="A293" s="11"/>
      <c r="B293" s="11"/>
      <c r="C293" s="11"/>
      <c r="D293" s="11"/>
    </row>
    <row r="294" spans="1:4">
      <c r="A294" s="11"/>
      <c r="B294" s="11"/>
      <c r="C294" s="11"/>
      <c r="D294" s="11"/>
    </row>
    <row r="295" spans="1:4">
      <c r="A295" s="11"/>
      <c r="B295" s="11"/>
      <c r="C295" s="11"/>
      <c r="D295" s="11"/>
    </row>
    <row r="296" spans="1:4">
      <c r="A296" s="11"/>
      <c r="B296" s="11"/>
      <c r="C296" s="11"/>
      <c r="D296" s="11"/>
    </row>
    <row r="297" spans="1:4">
      <c r="A297" s="11"/>
      <c r="B297" s="11"/>
      <c r="C297" s="11"/>
      <c r="D297" s="11"/>
    </row>
    <row r="298" spans="1:4">
      <c r="A298" s="11"/>
      <c r="B298" s="11"/>
      <c r="C298" s="11"/>
      <c r="D298" s="11"/>
    </row>
    <row r="299" spans="1:4">
      <c r="A299" s="11"/>
      <c r="B299" s="11"/>
      <c r="C299" s="11"/>
      <c r="D299" s="11"/>
    </row>
    <row r="300" spans="1:4">
      <c r="A300" s="11"/>
      <c r="B300" s="11"/>
      <c r="C300" s="11"/>
      <c r="D300" s="11"/>
    </row>
    <row r="301" spans="1:4">
      <c r="A301" s="11"/>
      <c r="B301" s="11"/>
      <c r="C301" s="11"/>
      <c r="D301" s="11"/>
    </row>
    <row r="302" spans="1:4">
      <c r="A302" s="11"/>
      <c r="B302" s="11"/>
      <c r="C302" s="11"/>
      <c r="D302" s="11"/>
    </row>
    <row r="303" spans="1:4">
      <c r="A303" s="11"/>
      <c r="B303" s="11"/>
      <c r="C303" s="11"/>
      <c r="D303" s="11"/>
    </row>
    <row r="304" spans="1:4">
      <c r="A304" s="11"/>
      <c r="B304" s="11"/>
      <c r="C304" s="11"/>
      <c r="D304" s="11"/>
    </row>
    <row r="305" spans="1:4">
      <c r="A305" s="11"/>
      <c r="B305" s="11"/>
      <c r="C305" s="11"/>
      <c r="D305" s="11"/>
    </row>
    <row r="306" spans="1:4">
      <c r="A306" s="11"/>
      <c r="B306" s="11"/>
      <c r="C306" s="11"/>
      <c r="D306" s="11"/>
    </row>
    <row r="307" spans="1:4">
      <c r="A307" s="11"/>
      <c r="B307" s="11"/>
      <c r="C307" s="11"/>
      <c r="D307" s="11"/>
    </row>
    <row r="308" spans="1:4">
      <c r="A308" s="11"/>
      <c r="B308" s="11"/>
      <c r="C308" s="11"/>
      <c r="D308" s="11"/>
    </row>
    <row r="309" spans="1:4">
      <c r="A309" s="11"/>
      <c r="B309" s="11"/>
      <c r="C309" s="11"/>
      <c r="D309" s="11"/>
    </row>
    <row r="310" spans="1:4">
      <c r="A310" s="11"/>
      <c r="B310" s="11"/>
      <c r="C310" s="11"/>
      <c r="D310" s="11"/>
    </row>
    <row r="311" spans="1:4">
      <c r="A311" s="11"/>
      <c r="B311" s="11"/>
      <c r="C311" s="11"/>
      <c r="D311" s="11"/>
    </row>
    <row r="312" spans="1:4">
      <c r="A312" s="11"/>
      <c r="B312" s="11"/>
      <c r="C312" s="11"/>
      <c r="D312" s="11"/>
    </row>
    <row r="313" spans="1:4">
      <c r="A313" s="11"/>
      <c r="B313" s="11"/>
      <c r="C313" s="11"/>
      <c r="D313" s="11"/>
    </row>
    <row r="314" spans="1:4">
      <c r="A314" s="11"/>
      <c r="B314" s="11"/>
      <c r="C314" s="11"/>
      <c r="D314" s="11"/>
    </row>
    <row r="315" spans="1:4">
      <c r="A315" s="11"/>
      <c r="B315" s="11"/>
      <c r="C315" s="11"/>
      <c r="D315" s="11"/>
    </row>
    <row r="316" spans="1:4">
      <c r="A316" s="11"/>
      <c r="B316" s="11"/>
      <c r="C316" s="11"/>
      <c r="D316" s="11"/>
    </row>
    <row r="317" spans="1:4">
      <c r="A317" s="11"/>
      <c r="B317" s="11"/>
      <c r="C317" s="11"/>
      <c r="D317" s="11"/>
    </row>
    <row r="318" spans="1:4">
      <c r="A318" s="11"/>
      <c r="B318" s="11"/>
      <c r="C318" s="11"/>
      <c r="D318" s="11"/>
    </row>
    <row r="319" spans="1:4">
      <c r="A319" s="11"/>
      <c r="B319" s="11"/>
      <c r="C319" s="11"/>
      <c r="D319" s="11"/>
    </row>
    <row r="320" spans="1:4">
      <c r="A320" s="11"/>
      <c r="B320" s="11"/>
      <c r="C320" s="11"/>
      <c r="D320" s="11"/>
    </row>
    <row r="321" spans="1:4">
      <c r="A321" s="11"/>
      <c r="B321" s="11"/>
      <c r="C321" s="11"/>
      <c r="D321" s="11"/>
    </row>
    <row r="322" spans="1:4">
      <c r="A322" s="11"/>
      <c r="B322" s="11"/>
      <c r="C322" s="11"/>
      <c r="D322" s="11"/>
    </row>
    <row r="323" spans="1:4">
      <c r="A323" s="11"/>
      <c r="B323" s="11"/>
      <c r="C323" s="11"/>
      <c r="D323" s="11"/>
    </row>
    <row r="324" spans="1:4">
      <c r="A324" s="11"/>
      <c r="B324" s="11"/>
      <c r="C324" s="11"/>
      <c r="D324" s="11"/>
    </row>
    <row r="325" spans="1:4">
      <c r="A325" s="11"/>
      <c r="B325" s="11"/>
      <c r="C325" s="11"/>
      <c r="D325" s="11"/>
    </row>
    <row r="326" spans="1:4">
      <c r="A326" s="11"/>
      <c r="B326" s="11"/>
      <c r="C326" s="11"/>
      <c r="D326" s="11"/>
    </row>
    <row r="327" spans="1:4">
      <c r="A327" s="11"/>
      <c r="B327" s="11"/>
      <c r="C327" s="11"/>
      <c r="D327" s="11"/>
    </row>
    <row r="328" spans="1:4">
      <c r="A328" s="11"/>
      <c r="B328" s="11"/>
      <c r="C328" s="11"/>
      <c r="D328" s="11"/>
    </row>
    <row r="329" spans="1:4">
      <c r="A329" s="11"/>
      <c r="B329" s="11"/>
      <c r="C329" s="11"/>
      <c r="D329" s="11"/>
    </row>
    <row r="330" spans="1:4">
      <c r="A330" s="11"/>
      <c r="B330" s="11"/>
      <c r="C330" s="11"/>
      <c r="D330" s="11"/>
    </row>
    <row r="331" spans="1:4">
      <c r="A331" s="11"/>
      <c r="B331" s="11"/>
      <c r="C331" s="11"/>
      <c r="D331" s="11"/>
    </row>
    <row r="332" spans="1:4">
      <c r="A332" s="11"/>
      <c r="B332" s="11"/>
      <c r="C332" s="11"/>
      <c r="D332" s="11"/>
    </row>
    <row r="333" spans="1:4">
      <c r="A333" s="11"/>
      <c r="B333" s="11"/>
      <c r="C333" s="11"/>
      <c r="D333" s="11"/>
    </row>
    <row r="334" spans="1:4">
      <c r="A334" s="11"/>
      <c r="B334" s="11"/>
      <c r="C334" s="11"/>
      <c r="D334" s="11"/>
    </row>
    <row r="335" spans="1:4">
      <c r="A335" s="11"/>
      <c r="B335" s="11"/>
      <c r="C335" s="11"/>
      <c r="D335" s="11"/>
    </row>
    <row r="336" spans="1:4">
      <c r="A336" s="11"/>
      <c r="B336" s="11"/>
      <c r="C336" s="11"/>
      <c r="D336" s="11"/>
    </row>
    <row r="337" spans="1:4">
      <c r="A337" s="11"/>
      <c r="B337" s="11"/>
      <c r="C337" s="11"/>
      <c r="D337" s="11"/>
    </row>
    <row r="338" spans="1:4">
      <c r="A338" s="11"/>
      <c r="B338" s="11"/>
      <c r="C338" s="11"/>
      <c r="D338" s="11"/>
    </row>
    <row r="339" spans="1:4">
      <c r="A339" s="11"/>
      <c r="B339" s="11"/>
      <c r="C339" s="11"/>
      <c r="D339" s="11"/>
    </row>
    <row r="340" spans="1:4">
      <c r="A340" s="11"/>
      <c r="B340" s="11"/>
      <c r="C340" s="11"/>
      <c r="D340" s="11"/>
    </row>
    <row r="341" spans="1:4">
      <c r="A341" s="11"/>
      <c r="B341" s="11"/>
      <c r="C341" s="11"/>
      <c r="D341" s="11"/>
    </row>
    <row r="342" spans="1:4">
      <c r="A342" s="11"/>
      <c r="B342" s="11"/>
      <c r="C342" s="11"/>
      <c r="D342" s="11"/>
    </row>
    <row r="343" spans="1:4">
      <c r="A343" s="11"/>
      <c r="B343" s="11"/>
      <c r="C343" s="11"/>
      <c r="D343" s="11"/>
    </row>
    <row r="344" spans="1:4">
      <c r="A344" s="11"/>
      <c r="B344" s="11"/>
      <c r="C344" s="11"/>
      <c r="D344" s="11"/>
    </row>
    <row r="345" spans="1:4">
      <c r="A345" s="11"/>
      <c r="B345" s="11"/>
      <c r="C345" s="11"/>
      <c r="D345" s="11"/>
    </row>
    <row r="346" spans="1:4">
      <c r="A346" s="11"/>
      <c r="B346" s="11"/>
      <c r="C346" s="11"/>
      <c r="D346" s="11"/>
    </row>
    <row r="347" spans="1:4">
      <c r="A347" s="11"/>
      <c r="B347" s="11"/>
      <c r="C347" s="11"/>
      <c r="D347" s="11"/>
    </row>
    <row r="348" spans="1:4">
      <c r="A348" s="11"/>
      <c r="B348" s="11"/>
      <c r="C348" s="11"/>
      <c r="D348" s="11"/>
    </row>
    <row r="349" spans="1:4">
      <c r="A349" s="11"/>
      <c r="B349" s="11"/>
      <c r="C349" s="11"/>
      <c r="D349" s="11"/>
    </row>
    <row r="350" spans="1:4">
      <c r="A350" s="11"/>
      <c r="B350" s="11"/>
      <c r="C350" s="11"/>
      <c r="D350" s="11"/>
    </row>
    <row r="351" spans="1:4">
      <c r="A351" s="11"/>
      <c r="B351" s="11"/>
      <c r="C351" s="11"/>
      <c r="D351" s="11"/>
    </row>
    <row r="352" spans="1:4">
      <c r="A352" s="11"/>
      <c r="B352" s="11"/>
      <c r="C352" s="11"/>
      <c r="D352" s="11"/>
    </row>
    <row r="353" spans="1:4">
      <c r="A353" s="11"/>
      <c r="B353" s="11"/>
      <c r="C353" s="11"/>
      <c r="D353" s="11"/>
    </row>
    <row r="354" spans="1:4">
      <c r="A354" s="11"/>
      <c r="B354" s="11"/>
      <c r="C354" s="11"/>
      <c r="D354" s="11"/>
    </row>
    <row r="355" spans="1:4">
      <c r="A355" s="11"/>
      <c r="B355" s="11"/>
      <c r="C355" s="11"/>
      <c r="D355" s="11"/>
    </row>
    <row r="356" spans="1:4">
      <c r="A356" s="11"/>
      <c r="B356" s="11"/>
      <c r="C356" s="11"/>
      <c r="D356" s="11"/>
    </row>
    <row r="357" spans="1:4">
      <c r="A357" s="11"/>
      <c r="B357" s="11"/>
      <c r="C357" s="11"/>
      <c r="D357" s="11"/>
    </row>
    <row r="358" spans="1:4">
      <c r="A358" s="11"/>
      <c r="B358" s="11"/>
      <c r="C358" s="11"/>
      <c r="D358" s="11"/>
    </row>
    <row r="359" spans="1:4">
      <c r="A359" s="11"/>
      <c r="B359" s="11"/>
      <c r="C359" s="11"/>
      <c r="D359" s="11"/>
    </row>
    <row r="360" spans="1:4">
      <c r="A360" s="11"/>
      <c r="B360" s="11"/>
      <c r="C360" s="11"/>
      <c r="D360" s="11"/>
    </row>
    <row r="361" spans="1:4">
      <c r="A361" s="11"/>
      <c r="B361" s="11"/>
      <c r="C361" s="11"/>
      <c r="D361" s="11"/>
    </row>
    <row r="362" spans="1:4">
      <c r="A362" s="11"/>
      <c r="B362" s="11"/>
      <c r="C362" s="11"/>
      <c r="D362" s="11"/>
    </row>
    <row r="363" spans="1:4">
      <c r="A363" s="11"/>
      <c r="B363" s="11"/>
      <c r="C363" s="11"/>
      <c r="D363" s="11"/>
    </row>
    <row r="364" spans="1:4">
      <c r="A364" s="11"/>
      <c r="B364" s="11"/>
      <c r="C364" s="11"/>
      <c r="D364" s="11"/>
    </row>
    <row r="365" spans="1:4">
      <c r="A365" s="11"/>
      <c r="B365" s="11"/>
      <c r="C365" s="11"/>
      <c r="D365" s="11"/>
    </row>
    <row r="366" spans="1:4">
      <c r="A366" s="11"/>
      <c r="B366" s="11"/>
      <c r="C366" s="11"/>
      <c r="D366" s="11"/>
    </row>
    <row r="367" spans="1:4">
      <c r="A367" s="11"/>
      <c r="B367" s="11"/>
      <c r="C367" s="11"/>
      <c r="D367" s="11"/>
    </row>
    <row r="368" spans="1:4">
      <c r="A368" s="11"/>
      <c r="B368" s="11"/>
      <c r="C368" s="11"/>
      <c r="D368" s="11"/>
    </row>
    <row r="369" spans="1:4">
      <c r="A369" s="11"/>
      <c r="B369" s="11"/>
      <c r="C369" s="11"/>
      <c r="D369" s="11"/>
    </row>
    <row r="370" spans="1:4">
      <c r="A370" s="11"/>
      <c r="B370" s="11"/>
      <c r="C370" s="11"/>
      <c r="D370" s="11"/>
    </row>
    <row r="371" spans="1:4">
      <c r="A371" s="11"/>
      <c r="B371" s="11"/>
      <c r="C371" s="11"/>
      <c r="D371" s="11"/>
    </row>
    <row r="372" spans="1:4">
      <c r="A372" s="11"/>
      <c r="B372" s="11"/>
      <c r="C372" s="11"/>
      <c r="D372" s="11"/>
    </row>
    <row r="373" spans="1:4">
      <c r="A373" s="11"/>
      <c r="B373" s="11"/>
      <c r="C373" s="11"/>
      <c r="D373" s="11"/>
    </row>
    <row r="374" spans="1:4">
      <c r="A374" s="11"/>
      <c r="B374" s="11"/>
      <c r="C374" s="11"/>
      <c r="D374" s="11"/>
    </row>
    <row r="375" spans="1:4">
      <c r="A375" s="11"/>
      <c r="B375" s="11"/>
      <c r="C375" s="11"/>
      <c r="D375" s="11"/>
    </row>
    <row r="376" spans="1:4">
      <c r="A376" s="11"/>
      <c r="B376" s="11"/>
      <c r="C376" s="11"/>
      <c r="D376" s="11"/>
    </row>
    <row r="377" spans="1:4">
      <c r="A377" s="11"/>
      <c r="B377" s="11"/>
      <c r="C377" s="11"/>
      <c r="D377" s="11"/>
    </row>
    <row r="378" spans="1:4">
      <c r="A378" s="11"/>
      <c r="B378" s="11"/>
      <c r="C378" s="11"/>
      <c r="D378" s="11"/>
    </row>
    <row r="379" spans="1:4">
      <c r="A379" s="11"/>
      <c r="B379" s="11"/>
      <c r="C379" s="11"/>
      <c r="D379" s="11"/>
    </row>
    <row r="380" spans="1:4">
      <c r="A380" s="11"/>
      <c r="B380" s="11"/>
      <c r="C380" s="11"/>
      <c r="D380" s="11"/>
    </row>
    <row r="381" spans="1:4">
      <c r="A381" s="11"/>
      <c r="B381" s="11"/>
      <c r="C381" s="11"/>
      <c r="D381" s="11"/>
    </row>
    <row r="382" spans="1:4">
      <c r="A382" s="11"/>
      <c r="B382" s="11"/>
      <c r="C382" s="11"/>
      <c r="D382" s="11"/>
    </row>
    <row r="383" spans="1:4">
      <c r="A383" s="11"/>
      <c r="B383" s="11"/>
      <c r="C383" s="11"/>
      <c r="D383" s="11"/>
    </row>
    <row r="384" spans="1:4">
      <c r="A384" s="11"/>
      <c r="B384" s="11"/>
      <c r="C384" s="11"/>
      <c r="D384" s="11"/>
    </row>
    <row r="385" spans="1:4">
      <c r="A385" s="11"/>
      <c r="B385" s="11"/>
      <c r="C385" s="11"/>
      <c r="D385" s="11"/>
    </row>
    <row r="386" spans="1:4">
      <c r="A386" s="11"/>
      <c r="B386" s="11"/>
      <c r="C386" s="11"/>
      <c r="D386" s="11"/>
    </row>
    <row r="387" spans="1:4">
      <c r="A387" s="11"/>
      <c r="B387" s="11"/>
      <c r="C387" s="11"/>
      <c r="D387" s="11"/>
    </row>
    <row r="388" spans="1:4">
      <c r="A388" s="11"/>
      <c r="B388" s="11"/>
      <c r="C388" s="11"/>
      <c r="D388" s="11"/>
    </row>
    <row r="389" spans="1:4">
      <c r="A389" s="11"/>
      <c r="B389" s="11"/>
      <c r="C389" s="11"/>
      <c r="D389" s="11"/>
    </row>
    <row r="390" spans="1:4">
      <c r="A390" s="11"/>
      <c r="B390" s="11"/>
      <c r="C390" s="11"/>
      <c r="D390" s="11"/>
    </row>
    <row r="391" spans="1:4">
      <c r="A391" s="11"/>
      <c r="B391" s="11"/>
      <c r="C391" s="11"/>
      <c r="D391" s="11"/>
    </row>
    <row r="392" spans="1:4">
      <c r="A392" s="11"/>
      <c r="B392" s="11"/>
      <c r="C392" s="11"/>
      <c r="D392" s="11"/>
    </row>
    <row r="393" spans="1:4">
      <c r="A393" s="11"/>
      <c r="B393" s="11"/>
      <c r="C393" s="11"/>
      <c r="D393" s="11"/>
    </row>
    <row r="394" spans="1:4">
      <c r="A394" s="11"/>
      <c r="B394" s="11"/>
      <c r="C394" s="11"/>
      <c r="D394" s="11"/>
    </row>
    <row r="395" spans="1:4">
      <c r="A395" s="11"/>
      <c r="B395" s="11"/>
      <c r="C395" s="11"/>
      <c r="D395" s="11"/>
    </row>
    <row r="396" spans="1:4">
      <c r="A396" s="11"/>
      <c r="B396" s="11"/>
      <c r="C396" s="11"/>
      <c r="D396" s="11"/>
    </row>
    <row r="397" spans="1:4">
      <c r="A397" s="11"/>
      <c r="B397" s="11"/>
      <c r="C397" s="11"/>
      <c r="D397" s="11"/>
    </row>
    <row r="398" spans="1:4">
      <c r="A398" s="11"/>
      <c r="B398" s="11"/>
      <c r="C398" s="11"/>
      <c r="D398" s="11"/>
    </row>
    <row r="399" spans="1:4">
      <c r="A399" s="11"/>
      <c r="B399" s="11"/>
      <c r="C399" s="11"/>
      <c r="D399" s="11"/>
    </row>
    <row r="400" spans="1:4">
      <c r="A400" s="11"/>
      <c r="B400" s="11"/>
      <c r="C400" s="11"/>
      <c r="D400" s="11"/>
    </row>
    <row r="401" spans="1:4">
      <c r="A401" s="11"/>
      <c r="B401" s="11"/>
      <c r="C401" s="11"/>
      <c r="D401" s="11"/>
    </row>
    <row r="402" spans="1:4">
      <c r="A402" s="11"/>
      <c r="B402" s="11"/>
      <c r="C402" s="11"/>
      <c r="D402" s="11"/>
    </row>
    <row r="403" spans="1:4">
      <c r="A403" s="11"/>
      <c r="B403" s="11"/>
      <c r="C403" s="11"/>
      <c r="D403" s="11"/>
    </row>
    <row r="404" spans="1:4">
      <c r="A404" s="11"/>
      <c r="B404" s="11"/>
      <c r="C404" s="11"/>
      <c r="D404" s="11"/>
    </row>
    <row r="405" spans="1:4">
      <c r="A405" s="11"/>
      <c r="B405" s="11"/>
      <c r="C405" s="11"/>
      <c r="D405" s="11"/>
    </row>
    <row r="406" spans="1:4">
      <c r="A406" s="11"/>
      <c r="B406" s="11"/>
      <c r="C406" s="11"/>
      <c r="D406" s="11"/>
    </row>
    <row r="407" spans="1:4">
      <c r="A407" s="11"/>
      <c r="B407" s="11"/>
      <c r="C407" s="11"/>
      <c r="D407" s="11"/>
    </row>
    <row r="408" spans="1:4">
      <c r="A408" s="11"/>
      <c r="B408" s="11"/>
      <c r="C408" s="11"/>
      <c r="D408" s="11"/>
    </row>
    <row r="409" spans="1:4">
      <c r="A409" s="11"/>
      <c r="B409" s="11"/>
      <c r="C409" s="11"/>
      <c r="D409" s="11"/>
    </row>
    <row r="410" spans="1:4">
      <c r="A410" s="11"/>
      <c r="B410" s="11"/>
      <c r="C410" s="11"/>
      <c r="D410" s="11"/>
    </row>
    <row r="411" spans="1:4">
      <c r="A411" s="11"/>
      <c r="B411" s="11"/>
      <c r="C411" s="11"/>
      <c r="D411" s="11"/>
    </row>
    <row r="412" spans="1:4">
      <c r="A412" s="11"/>
      <c r="B412" s="11"/>
      <c r="C412" s="11"/>
      <c r="D412" s="11"/>
    </row>
    <row r="413" spans="1:4">
      <c r="A413" s="11"/>
      <c r="B413" s="11"/>
      <c r="C413" s="11"/>
      <c r="D413" s="11"/>
    </row>
    <row r="414" spans="1:4">
      <c r="A414" s="11"/>
      <c r="B414" s="11"/>
      <c r="C414" s="11"/>
      <c r="D414" s="11"/>
    </row>
    <row r="415" spans="1:4">
      <c r="A415" s="11"/>
      <c r="B415" s="11"/>
      <c r="C415" s="11"/>
      <c r="D415" s="11"/>
    </row>
    <row r="416" spans="1:4">
      <c r="A416" s="11"/>
      <c r="B416" s="11"/>
      <c r="C416" s="11"/>
      <c r="D416" s="11"/>
    </row>
    <row r="417" spans="1:4">
      <c r="A417" s="11"/>
      <c r="B417" s="11"/>
      <c r="C417" s="11"/>
      <c r="D417" s="11"/>
    </row>
    <row r="418" spans="1:4">
      <c r="A418" s="11"/>
      <c r="B418" s="11"/>
      <c r="C418" s="11"/>
      <c r="D418" s="11"/>
    </row>
    <row r="419" spans="1:4">
      <c r="A419" s="11"/>
      <c r="B419" s="11"/>
      <c r="C419" s="11"/>
      <c r="D419" s="11"/>
    </row>
    <row r="420" spans="1:4">
      <c r="A420" s="11"/>
      <c r="B420" s="11"/>
      <c r="C420" s="11"/>
      <c r="D420" s="11"/>
    </row>
    <row r="421" spans="1:4">
      <c r="A421" s="11"/>
      <c r="B421" s="11"/>
      <c r="C421" s="11"/>
      <c r="D421" s="11"/>
    </row>
    <row r="422" spans="1:4">
      <c r="A422" s="11"/>
      <c r="B422" s="11"/>
      <c r="C422" s="11"/>
      <c r="D422" s="11"/>
    </row>
    <row r="423" spans="1:4">
      <c r="A423" s="11"/>
      <c r="B423" s="11"/>
      <c r="C423" s="11"/>
      <c r="D423" s="11"/>
    </row>
    <row r="424" spans="1:4">
      <c r="A424" s="11"/>
      <c r="B424" s="11"/>
      <c r="C424" s="11"/>
      <c r="D424" s="11"/>
    </row>
    <row r="425" spans="1:4">
      <c r="A425" s="11"/>
      <c r="B425" s="11"/>
      <c r="C425" s="11"/>
      <c r="D425" s="11"/>
    </row>
    <row r="426" spans="1:4">
      <c r="A426" s="11"/>
      <c r="B426" s="11"/>
      <c r="C426" s="11"/>
      <c r="D426" s="11"/>
    </row>
    <row r="427" spans="1:4">
      <c r="A427" s="11"/>
      <c r="B427" s="11"/>
      <c r="C427" s="11"/>
      <c r="D427" s="11"/>
    </row>
    <row r="428" spans="1:4">
      <c r="A428" s="11"/>
      <c r="B428" s="11"/>
      <c r="C428" s="11"/>
      <c r="D428" s="11"/>
    </row>
    <row r="429" spans="1:4">
      <c r="A429" s="11"/>
      <c r="B429" s="11"/>
      <c r="C429" s="11"/>
      <c r="D429" s="11"/>
    </row>
    <row r="430" spans="1:4">
      <c r="A430" s="11"/>
      <c r="B430" s="11"/>
      <c r="C430" s="11"/>
      <c r="D430" s="11"/>
    </row>
    <row r="431" spans="1:4">
      <c r="A431" s="11"/>
      <c r="B431" s="11"/>
      <c r="C431" s="11"/>
      <c r="D431" s="11"/>
    </row>
    <row r="432" spans="1:4">
      <c r="A432" s="11"/>
      <c r="B432" s="11"/>
      <c r="C432" s="11"/>
      <c r="D432" s="11"/>
    </row>
    <row r="433" spans="1:4">
      <c r="A433" s="11"/>
      <c r="B433" s="11"/>
      <c r="C433" s="11"/>
      <c r="D433" s="11"/>
    </row>
    <row r="434" spans="1:4">
      <c r="A434" s="11"/>
      <c r="B434" s="11"/>
      <c r="C434" s="11"/>
      <c r="D434" s="11"/>
    </row>
    <row r="435" spans="1:4">
      <c r="A435" s="11"/>
      <c r="B435" s="11"/>
      <c r="C435" s="11"/>
      <c r="D435" s="11"/>
    </row>
    <row r="436" spans="1:4">
      <c r="A436" s="11"/>
      <c r="B436" s="11"/>
      <c r="C436" s="11"/>
      <c r="D436" s="11"/>
    </row>
    <row r="437" spans="1:4">
      <c r="A437" s="11"/>
      <c r="B437" s="11"/>
      <c r="C437" s="11"/>
      <c r="D437" s="11"/>
    </row>
    <row r="438" spans="1:4">
      <c r="A438" s="11"/>
      <c r="B438" s="11"/>
      <c r="C438" s="11"/>
      <c r="D438" s="11"/>
    </row>
    <row r="439" spans="1:4">
      <c r="A439" s="11"/>
      <c r="B439" s="11"/>
      <c r="C439" s="11"/>
      <c r="D439" s="11"/>
    </row>
    <row r="440" spans="1:4">
      <c r="A440" s="11"/>
      <c r="B440" s="11"/>
      <c r="C440" s="11"/>
      <c r="D440" s="11"/>
    </row>
    <row r="441" spans="1:4">
      <c r="A441" s="11"/>
      <c r="B441" s="11"/>
      <c r="C441" s="11"/>
      <c r="D441" s="11"/>
    </row>
    <row r="442" spans="1:4">
      <c r="A442" s="11"/>
      <c r="B442" s="11"/>
      <c r="C442" s="11"/>
      <c r="D442" s="11"/>
    </row>
    <row r="443" spans="1:4">
      <c r="A443" s="11"/>
      <c r="B443" s="11"/>
      <c r="C443" s="11"/>
      <c r="D443" s="11"/>
    </row>
    <row r="444" spans="1:4">
      <c r="A444" s="11"/>
      <c r="B444" s="11"/>
      <c r="C444" s="11"/>
      <c r="D444" s="11"/>
    </row>
    <row r="445" spans="1:4">
      <c r="A445" s="11"/>
      <c r="B445" s="11"/>
      <c r="C445" s="11"/>
      <c r="D445" s="11"/>
    </row>
    <row r="446" spans="1:4">
      <c r="A446" s="11"/>
      <c r="B446" s="11"/>
      <c r="C446" s="11"/>
      <c r="D446" s="11"/>
    </row>
    <row r="447" spans="1:4">
      <c r="A447" s="11"/>
      <c r="B447" s="11"/>
      <c r="C447" s="11"/>
      <c r="D447" s="11"/>
    </row>
    <row r="448" spans="1:4">
      <c r="A448" s="11"/>
      <c r="B448" s="11"/>
      <c r="C448" s="11"/>
      <c r="D448" s="11"/>
    </row>
    <row r="449" spans="1:4">
      <c r="A449" s="11"/>
      <c r="B449" s="11"/>
      <c r="C449" s="11"/>
      <c r="D449" s="11"/>
    </row>
    <row r="450" spans="1:4">
      <c r="A450" s="11"/>
      <c r="B450" s="11"/>
      <c r="C450" s="11"/>
      <c r="D450" s="11"/>
    </row>
    <row r="451" spans="1:4">
      <c r="A451" s="11"/>
      <c r="B451" s="11"/>
      <c r="C451" s="11"/>
      <c r="D451" s="11"/>
    </row>
    <row r="452" spans="1:4">
      <c r="A452" s="11"/>
      <c r="B452" s="11"/>
      <c r="C452" s="11"/>
      <c r="D452" s="11"/>
    </row>
    <row r="453" spans="1:4">
      <c r="A453" s="11"/>
      <c r="B453" s="11"/>
      <c r="C453" s="11"/>
      <c r="D453" s="11"/>
    </row>
    <row r="454" spans="1:4">
      <c r="A454" s="11"/>
      <c r="B454" s="11"/>
      <c r="C454" s="11"/>
      <c r="D454" s="11"/>
    </row>
    <row r="455" spans="1:4">
      <c r="A455" s="11"/>
      <c r="B455" s="11"/>
      <c r="C455" s="11"/>
      <c r="D455" s="11"/>
    </row>
    <row r="456" spans="1:4">
      <c r="A456" s="11"/>
      <c r="B456" s="11"/>
      <c r="C456" s="11"/>
      <c r="D456" s="11"/>
    </row>
    <row r="457" spans="1:4">
      <c r="A457" s="11"/>
      <c r="B457" s="11"/>
      <c r="C457" s="11"/>
      <c r="D457" s="11"/>
    </row>
    <row r="458" spans="1:4">
      <c r="A458" s="11"/>
      <c r="B458" s="11"/>
      <c r="C458" s="11"/>
      <c r="D458" s="11"/>
    </row>
    <row r="459" spans="1:4">
      <c r="A459" s="11"/>
      <c r="B459" s="11"/>
      <c r="C459" s="11"/>
      <c r="D459" s="11"/>
    </row>
    <row r="460" spans="1:4">
      <c r="A460" s="11"/>
      <c r="B460" s="11"/>
      <c r="C460" s="11"/>
      <c r="D460" s="11"/>
    </row>
    <row r="461" spans="1:4">
      <c r="A461" s="11"/>
      <c r="B461" s="11"/>
      <c r="C461" s="11"/>
      <c r="D461" s="11"/>
    </row>
    <row r="462" spans="1:4">
      <c r="A462" s="11"/>
      <c r="B462" s="11"/>
      <c r="C462" s="11"/>
      <c r="D462" s="11"/>
    </row>
    <row r="463" spans="1:4">
      <c r="A463" s="11"/>
      <c r="B463" s="11"/>
      <c r="C463" s="11"/>
      <c r="D463" s="11"/>
    </row>
    <row r="464" spans="1:4">
      <c r="A464" s="11"/>
      <c r="B464" s="11"/>
      <c r="C464" s="11"/>
      <c r="D464" s="11"/>
    </row>
    <row r="465" spans="1:4">
      <c r="A465" s="11"/>
      <c r="B465" s="11"/>
      <c r="C465" s="11"/>
      <c r="D465" s="11"/>
    </row>
    <row r="466" spans="1:4">
      <c r="A466" s="11"/>
      <c r="B466" s="11"/>
      <c r="C466" s="11"/>
      <c r="D466" s="11"/>
    </row>
    <row r="467" spans="1:4">
      <c r="A467" s="11"/>
      <c r="B467" s="11"/>
      <c r="C467" s="11"/>
      <c r="D467" s="11"/>
    </row>
    <row r="468" spans="1:4">
      <c r="A468" s="11"/>
      <c r="B468" s="11"/>
      <c r="C468" s="11"/>
      <c r="D468" s="11"/>
    </row>
    <row r="469" spans="1:4">
      <c r="A469" s="11"/>
      <c r="B469" s="11"/>
      <c r="C469" s="11"/>
      <c r="D469" s="11"/>
    </row>
    <row r="470" spans="1:4">
      <c r="A470" s="11"/>
      <c r="B470" s="11"/>
      <c r="C470" s="11"/>
      <c r="D470" s="11"/>
    </row>
    <row r="471" spans="1:4">
      <c r="A471" s="11"/>
      <c r="B471" s="11"/>
      <c r="C471" s="11"/>
      <c r="D471" s="11"/>
    </row>
    <row r="472" spans="1:4">
      <c r="A472" s="11"/>
      <c r="B472" s="11"/>
      <c r="C472" s="11"/>
      <c r="D472" s="11"/>
    </row>
    <row r="473" spans="1:4">
      <c r="A473" s="11"/>
      <c r="B473" s="11"/>
      <c r="C473" s="11"/>
      <c r="D473" s="11"/>
    </row>
    <row r="474" spans="1:4">
      <c r="A474" s="11"/>
      <c r="B474" s="11"/>
      <c r="C474" s="11"/>
      <c r="D474" s="11"/>
    </row>
    <row r="475" spans="1:4">
      <c r="A475" s="11"/>
      <c r="B475" s="11"/>
      <c r="C475" s="11"/>
      <c r="D475" s="11"/>
    </row>
    <row r="476" spans="1:4">
      <c r="A476" s="11"/>
      <c r="B476" s="11"/>
      <c r="C476" s="11"/>
      <c r="D476" s="11"/>
    </row>
    <row r="477" spans="1:4">
      <c r="A477" s="11"/>
      <c r="B477" s="11"/>
      <c r="C477" s="11"/>
      <c r="D477" s="11"/>
    </row>
    <row r="478" spans="1:4">
      <c r="A478" s="11"/>
      <c r="B478" s="11"/>
      <c r="C478" s="11"/>
      <c r="D478" s="11"/>
    </row>
    <row r="479" spans="1:4">
      <c r="A479" s="11"/>
      <c r="B479" s="11"/>
      <c r="C479" s="11"/>
      <c r="D479" s="11"/>
    </row>
    <row r="480" spans="1:4">
      <c r="A480" s="11"/>
      <c r="B480" s="11"/>
      <c r="C480" s="11"/>
      <c r="D480" s="11"/>
    </row>
    <row r="481" spans="1:4">
      <c r="A481" s="11"/>
      <c r="B481" s="11"/>
      <c r="C481" s="11"/>
      <c r="D481" s="11"/>
    </row>
    <row r="482" spans="1:4">
      <c r="A482" s="11"/>
      <c r="B482" s="11"/>
      <c r="C482" s="11"/>
      <c r="D482" s="11"/>
    </row>
    <row r="483" spans="1:4">
      <c r="A483" s="11"/>
      <c r="B483" s="11"/>
      <c r="C483" s="11"/>
      <c r="D483" s="11"/>
    </row>
    <row r="484" spans="1:4">
      <c r="A484" s="11"/>
      <c r="B484" s="11"/>
      <c r="C484" s="11"/>
      <c r="D484" s="11"/>
    </row>
    <row r="485" spans="1:4">
      <c r="A485" s="11"/>
      <c r="B485" s="11"/>
      <c r="C485" s="11"/>
      <c r="D485" s="11"/>
    </row>
    <row r="486" spans="1:4">
      <c r="A486" s="11"/>
      <c r="B486" s="11"/>
      <c r="C486" s="11"/>
      <c r="D486" s="11"/>
    </row>
    <row r="487" spans="1:4">
      <c r="A487" s="11"/>
      <c r="B487" s="11"/>
      <c r="C487" s="11"/>
      <c r="D487" s="11"/>
    </row>
    <row r="488" spans="1:4">
      <c r="A488" s="11"/>
      <c r="B488" s="11"/>
      <c r="C488" s="11"/>
      <c r="D488" s="11"/>
    </row>
    <row r="489" spans="1:4">
      <c r="A489" s="11"/>
      <c r="B489" s="11"/>
      <c r="C489" s="11"/>
      <c r="D489" s="11"/>
    </row>
    <row r="490" spans="1:4">
      <c r="A490" s="11"/>
      <c r="B490" s="11"/>
      <c r="C490" s="11"/>
      <c r="D490" s="11"/>
    </row>
    <row r="491" spans="1:4">
      <c r="A491" s="11"/>
      <c r="B491" s="11"/>
      <c r="C491" s="11"/>
      <c r="D491" s="11"/>
    </row>
    <row r="492" spans="1:4">
      <c r="A492" s="11"/>
      <c r="B492" s="11"/>
      <c r="C492" s="11"/>
      <c r="D492" s="11"/>
    </row>
    <row r="493" spans="1:4">
      <c r="A493" s="11"/>
      <c r="B493" s="11"/>
      <c r="C493" s="11"/>
      <c r="D493" s="11"/>
    </row>
    <row r="494" spans="1:4">
      <c r="A494" s="11"/>
      <c r="B494" s="11"/>
      <c r="C494" s="11"/>
      <c r="D494" s="11"/>
    </row>
    <row r="495" spans="1:4">
      <c r="A495" s="11"/>
      <c r="B495" s="11"/>
      <c r="C495" s="11"/>
      <c r="D495" s="11"/>
    </row>
    <row r="496" spans="1:4">
      <c r="A496" s="11"/>
      <c r="B496" s="11"/>
      <c r="C496" s="11"/>
      <c r="D496" s="11"/>
    </row>
    <row r="497" spans="1:4">
      <c r="A497" s="11"/>
      <c r="B497" s="11"/>
      <c r="C497" s="11"/>
      <c r="D497" s="11"/>
    </row>
    <row r="498" spans="1:4">
      <c r="A498" s="11"/>
      <c r="B498" s="11"/>
      <c r="C498" s="11"/>
      <c r="D498" s="11"/>
    </row>
    <row r="499" spans="1:4">
      <c r="A499" s="11"/>
      <c r="B499" s="11"/>
      <c r="C499" s="11"/>
      <c r="D499" s="11"/>
    </row>
    <row r="500" spans="1:4">
      <c r="A500" s="11"/>
      <c r="B500" s="11"/>
      <c r="C500" s="11"/>
      <c r="D500" s="11"/>
    </row>
    <row r="501" spans="1:4">
      <c r="A501" s="11"/>
      <c r="B501" s="11"/>
      <c r="C501" s="11"/>
      <c r="D501" s="11"/>
    </row>
    <row r="502" spans="1:4">
      <c r="A502" s="11"/>
      <c r="B502" s="11"/>
      <c r="C502" s="11"/>
      <c r="D502" s="11"/>
    </row>
    <row r="503" spans="1:4">
      <c r="A503" s="11"/>
      <c r="B503" s="11"/>
      <c r="C503" s="11"/>
      <c r="D503" s="11"/>
    </row>
    <row r="504" spans="1:4">
      <c r="A504" s="11"/>
      <c r="B504" s="11"/>
      <c r="C504" s="11"/>
      <c r="D504" s="11"/>
    </row>
    <row r="505" spans="1:4">
      <c r="A505" s="11"/>
      <c r="B505" s="11"/>
      <c r="C505" s="11"/>
      <c r="D505" s="11"/>
    </row>
    <row r="506" spans="1:4">
      <c r="A506" s="11"/>
      <c r="B506" s="11"/>
      <c r="C506" s="11"/>
      <c r="D506" s="11"/>
    </row>
    <row r="507" spans="1:4">
      <c r="A507" s="11"/>
      <c r="B507" s="11"/>
      <c r="C507" s="11"/>
      <c r="D507" s="11"/>
    </row>
    <row r="508" spans="1:4">
      <c r="A508" s="11"/>
      <c r="B508" s="11"/>
      <c r="C508" s="11"/>
      <c r="D508" s="11"/>
    </row>
    <row r="509" spans="1:4">
      <c r="A509" s="11"/>
      <c r="B509" s="11"/>
      <c r="C509" s="11"/>
      <c r="D509" s="11"/>
    </row>
    <row r="510" spans="1:4">
      <c r="A510" s="11"/>
      <c r="B510" s="11"/>
      <c r="C510" s="11"/>
      <c r="D510" s="11"/>
    </row>
    <row r="511" spans="1:4">
      <c r="A511" s="11"/>
      <c r="B511" s="11"/>
      <c r="C511" s="11"/>
      <c r="D511" s="11"/>
    </row>
    <row r="512" spans="1:4">
      <c r="A512" s="11"/>
      <c r="B512" s="11"/>
      <c r="C512" s="11"/>
      <c r="D512" s="11"/>
    </row>
    <row r="513" spans="1:4">
      <c r="A513" s="11"/>
      <c r="B513" s="11"/>
      <c r="C513" s="11"/>
      <c r="D513" s="11"/>
    </row>
    <row r="514" spans="1:4">
      <c r="A514" s="11"/>
      <c r="B514" s="11"/>
      <c r="C514" s="11"/>
      <c r="D514" s="11"/>
    </row>
    <row r="515" spans="1:4">
      <c r="A515" s="11"/>
      <c r="B515" s="11"/>
      <c r="C515" s="11"/>
      <c r="D515" s="11"/>
    </row>
    <row r="516" spans="1:4">
      <c r="A516" s="11"/>
      <c r="B516" s="11"/>
      <c r="C516" s="11"/>
      <c r="D516" s="11"/>
    </row>
    <row r="517" spans="1:4">
      <c r="A517" s="11"/>
      <c r="B517" s="11"/>
      <c r="C517" s="11"/>
      <c r="D517" s="11"/>
    </row>
    <row r="518" spans="1:4">
      <c r="A518" s="11"/>
      <c r="B518" s="11"/>
      <c r="C518" s="11"/>
      <c r="D518" s="11"/>
    </row>
    <row r="519" spans="1:4">
      <c r="A519" s="11"/>
      <c r="B519" s="11"/>
      <c r="C519" s="11"/>
      <c r="D519" s="11"/>
    </row>
    <row r="520" spans="1:4">
      <c r="A520" s="11"/>
      <c r="B520" s="11"/>
      <c r="C520" s="11"/>
      <c r="D520" s="11"/>
    </row>
    <row r="521" spans="1:4">
      <c r="A521" s="11"/>
      <c r="B521" s="11"/>
      <c r="C521" s="11"/>
      <c r="D521" s="11"/>
    </row>
    <row r="522" spans="1:4">
      <c r="A522" s="11"/>
      <c r="B522" s="11"/>
      <c r="C522" s="11"/>
      <c r="D522" s="11"/>
    </row>
    <row r="523" spans="1:4">
      <c r="A523" s="11"/>
      <c r="B523" s="11"/>
      <c r="C523" s="11"/>
      <c r="D523" s="11"/>
    </row>
    <row r="524" spans="1:4">
      <c r="A524" s="11"/>
      <c r="B524" s="11"/>
      <c r="C524" s="11"/>
      <c r="D524" s="11"/>
    </row>
    <row r="525" spans="1:4">
      <c r="A525" s="11"/>
      <c r="B525" s="11"/>
      <c r="C525" s="11"/>
      <c r="D525" s="11"/>
    </row>
    <row r="526" spans="1:4">
      <c r="A526" s="11"/>
      <c r="B526" s="11"/>
      <c r="C526" s="11"/>
      <c r="D526" s="11"/>
    </row>
    <row r="527" spans="1:4">
      <c r="A527" s="11"/>
      <c r="B527" s="11"/>
      <c r="C527" s="11"/>
      <c r="D527" s="11"/>
    </row>
    <row r="528" spans="1:4">
      <c r="A528" s="11"/>
      <c r="B528" s="11"/>
      <c r="C528" s="11"/>
      <c r="D528" s="11"/>
    </row>
    <row r="529" spans="1:4">
      <c r="A529" s="11"/>
      <c r="B529" s="11"/>
      <c r="C529" s="11"/>
      <c r="D529" s="11"/>
    </row>
    <row r="530" spans="1:4">
      <c r="A530" s="11"/>
      <c r="B530" s="11"/>
      <c r="C530" s="11"/>
      <c r="D530" s="11"/>
    </row>
    <row r="531" spans="1:4">
      <c r="A531" s="11"/>
      <c r="B531" s="11"/>
      <c r="C531" s="11"/>
      <c r="D531" s="11"/>
    </row>
    <row r="532" spans="1:4">
      <c r="A532" s="11"/>
      <c r="B532" s="11"/>
      <c r="C532" s="11"/>
      <c r="D532" s="11"/>
    </row>
    <row r="533" spans="1:4">
      <c r="A533" s="11"/>
      <c r="B533" s="11"/>
      <c r="C533" s="11"/>
      <c r="D533" s="11"/>
    </row>
    <row r="534" spans="1:4">
      <c r="A534" s="11"/>
      <c r="B534" s="11"/>
      <c r="C534" s="11"/>
      <c r="D534" s="11"/>
    </row>
    <row r="535" spans="1:4">
      <c r="A535" s="11"/>
      <c r="B535" s="11"/>
      <c r="C535" s="11"/>
      <c r="D535" s="11"/>
    </row>
    <row r="536" spans="1:4">
      <c r="A536" s="11"/>
      <c r="B536" s="11"/>
      <c r="C536" s="11"/>
      <c r="D536" s="11"/>
    </row>
    <row r="537" spans="1:4">
      <c r="A537" s="11"/>
      <c r="B537" s="11"/>
      <c r="C537" s="11"/>
      <c r="D537" s="11"/>
    </row>
    <row r="538" spans="1:4">
      <c r="A538" s="11"/>
      <c r="B538" s="11"/>
      <c r="C538" s="11"/>
      <c r="D538" s="11"/>
    </row>
    <row r="539" spans="1:4">
      <c r="A539" s="11"/>
      <c r="B539" s="11"/>
      <c r="C539" s="11"/>
      <c r="D539" s="11"/>
    </row>
    <row r="540" spans="1:4">
      <c r="A540" s="11"/>
      <c r="B540" s="11"/>
      <c r="C540" s="11"/>
      <c r="D540" s="11"/>
    </row>
    <row r="541" spans="1:4">
      <c r="A541" s="11"/>
      <c r="B541" s="11"/>
      <c r="C541" s="11"/>
      <c r="D541" s="11"/>
    </row>
    <row r="542" spans="1:4">
      <c r="A542" s="11"/>
      <c r="B542" s="11"/>
      <c r="C542" s="11"/>
      <c r="D542" s="11"/>
    </row>
    <row r="543" spans="1:4">
      <c r="A543" s="11"/>
      <c r="B543" s="11"/>
      <c r="C543" s="11"/>
      <c r="D543" s="11"/>
    </row>
    <row r="544" spans="1:4">
      <c r="A544" s="11"/>
      <c r="B544" s="11"/>
      <c r="C544" s="11"/>
      <c r="D544" s="11"/>
    </row>
    <row r="545" spans="1:4">
      <c r="A545" s="11"/>
      <c r="B545" s="11"/>
      <c r="C545" s="11"/>
      <c r="D545" s="11"/>
    </row>
    <row r="546" spans="1:4">
      <c r="A546" s="11"/>
      <c r="B546" s="11"/>
      <c r="C546" s="11"/>
      <c r="D546" s="11"/>
    </row>
    <row r="547" spans="1:4">
      <c r="A547" s="11"/>
      <c r="B547" s="11"/>
      <c r="C547" s="11"/>
      <c r="D547" s="11"/>
    </row>
    <row r="548" spans="1:4">
      <c r="A548" s="11"/>
      <c r="B548" s="11"/>
      <c r="C548" s="11"/>
      <c r="D548" s="11"/>
    </row>
    <row r="549" spans="1:4">
      <c r="A549" s="11"/>
      <c r="B549" s="11"/>
      <c r="C549" s="11"/>
      <c r="D549" s="11"/>
    </row>
    <row r="550" spans="1:4">
      <c r="A550" s="11"/>
      <c r="B550" s="11"/>
      <c r="C550" s="11"/>
      <c r="D550" s="11"/>
    </row>
    <row r="551" spans="1:4">
      <c r="A551" s="11"/>
      <c r="B551" s="11"/>
      <c r="C551" s="11"/>
      <c r="D551" s="11"/>
    </row>
    <row r="552" spans="1:4">
      <c r="A552" s="11"/>
      <c r="B552" s="11"/>
      <c r="C552" s="11"/>
      <c r="D552" s="11"/>
    </row>
    <row r="553" spans="1:4">
      <c r="A553" s="11"/>
      <c r="B553" s="11"/>
      <c r="C553" s="11"/>
      <c r="D553" s="11"/>
    </row>
    <row r="554" spans="1:4">
      <c r="A554" s="11"/>
      <c r="B554" s="11"/>
      <c r="C554" s="11"/>
      <c r="D554" s="11"/>
    </row>
    <row r="555" spans="1:4">
      <c r="A555" s="11"/>
      <c r="B555" s="11"/>
      <c r="C555" s="11"/>
      <c r="D555" s="11"/>
    </row>
    <row r="556" spans="1:4">
      <c r="A556" s="11"/>
      <c r="B556" s="11"/>
      <c r="C556" s="11"/>
      <c r="D556" s="11"/>
    </row>
    <row r="557" spans="1:4">
      <c r="A557" s="11"/>
      <c r="B557" s="11"/>
      <c r="C557" s="11"/>
      <c r="D557" s="11"/>
    </row>
    <row r="558" spans="1:4">
      <c r="A558" s="11"/>
      <c r="B558" s="11"/>
      <c r="C558" s="11"/>
      <c r="D558" s="11"/>
    </row>
    <row r="559" spans="1:4">
      <c r="A559" s="11"/>
      <c r="B559" s="11"/>
      <c r="C559" s="11"/>
      <c r="D559" s="11"/>
    </row>
    <row r="560" spans="1:4">
      <c r="A560" s="11"/>
      <c r="B560" s="11"/>
      <c r="C560" s="11"/>
      <c r="D560" s="11"/>
    </row>
    <row r="561" spans="1:4">
      <c r="A561" s="11"/>
      <c r="B561" s="11"/>
      <c r="C561" s="11"/>
      <c r="D561" s="11"/>
    </row>
    <row r="562" spans="1:4">
      <c r="A562" s="11"/>
      <c r="B562" s="11"/>
      <c r="C562" s="11"/>
      <c r="D562" s="11"/>
    </row>
    <row r="563" spans="1:4">
      <c r="A563" s="11"/>
      <c r="B563" s="11"/>
      <c r="C563" s="11"/>
      <c r="D563" s="11"/>
    </row>
    <row r="564" spans="1:4">
      <c r="A564" s="11"/>
      <c r="B564" s="11"/>
      <c r="C564" s="11"/>
      <c r="D564" s="11"/>
    </row>
    <row r="565" spans="1:4">
      <c r="A565" s="11"/>
      <c r="B565" s="11"/>
      <c r="C565" s="11"/>
      <c r="D565" s="11"/>
    </row>
    <row r="566" spans="1:4">
      <c r="A566" s="11"/>
      <c r="B566" s="11"/>
      <c r="C566" s="11"/>
      <c r="D566" s="11"/>
    </row>
    <row r="567" spans="1:4">
      <c r="A567" s="11"/>
      <c r="B567" s="11"/>
      <c r="C567" s="11"/>
      <c r="D567" s="11"/>
    </row>
    <row r="568" spans="1:4">
      <c r="A568" s="11"/>
      <c r="B568" s="11"/>
      <c r="C568" s="11"/>
      <c r="D568" s="11"/>
    </row>
    <row r="569" spans="1:4">
      <c r="A569" s="11"/>
      <c r="B569" s="11"/>
      <c r="C569" s="11"/>
      <c r="D569" s="11"/>
    </row>
    <row r="570" spans="1:4">
      <c r="A570" s="11"/>
      <c r="B570" s="11"/>
      <c r="C570" s="11"/>
      <c r="D570" s="11"/>
    </row>
    <row r="571" spans="1:4">
      <c r="A571" s="11"/>
      <c r="B571" s="11"/>
      <c r="C571" s="11"/>
      <c r="D571" s="11"/>
    </row>
    <row r="572" spans="1:4">
      <c r="A572" s="11"/>
      <c r="B572" s="11"/>
      <c r="C572" s="11"/>
      <c r="D572" s="11"/>
    </row>
    <row r="573" spans="1:4">
      <c r="A573" s="11"/>
      <c r="B573" s="11"/>
      <c r="C573" s="11"/>
      <c r="D573" s="11"/>
    </row>
    <row r="574" spans="1:4">
      <c r="A574" s="11"/>
      <c r="B574" s="11"/>
      <c r="C574" s="11"/>
      <c r="D574" s="11"/>
    </row>
    <row r="575" spans="1:4">
      <c r="A575" s="11"/>
      <c r="B575" s="11"/>
      <c r="C575" s="11"/>
      <c r="D575" s="11"/>
    </row>
    <row r="576" spans="1:4">
      <c r="A576" s="11"/>
      <c r="B576" s="11"/>
      <c r="C576" s="11"/>
      <c r="D576" s="11"/>
    </row>
    <row r="577" spans="1:4">
      <c r="A577" s="11"/>
      <c r="B577" s="11"/>
      <c r="C577" s="11"/>
      <c r="D577" s="11"/>
    </row>
    <row r="578" spans="1:4">
      <c r="A578" s="11"/>
      <c r="B578" s="11"/>
      <c r="C578" s="11"/>
      <c r="D578" s="11"/>
    </row>
    <row r="579" spans="1:4">
      <c r="A579" s="11"/>
      <c r="B579" s="11"/>
      <c r="C579" s="11"/>
      <c r="D579" s="11"/>
    </row>
    <row r="580" spans="1:4">
      <c r="A580" s="11"/>
      <c r="B580" s="11"/>
      <c r="C580" s="11"/>
      <c r="D580" s="11"/>
    </row>
    <row r="581" spans="1:4">
      <c r="A581" s="11"/>
      <c r="B581" s="11"/>
      <c r="C581" s="11"/>
      <c r="D581" s="11"/>
    </row>
    <row r="582" spans="1:4">
      <c r="A582" s="11"/>
      <c r="B582" s="11"/>
      <c r="C582" s="11"/>
      <c r="D582" s="11"/>
    </row>
    <row r="583" spans="1:4">
      <c r="A583" s="11"/>
      <c r="B583" s="11"/>
      <c r="C583" s="11"/>
      <c r="D583" s="11"/>
    </row>
    <row r="584" spans="1:4">
      <c r="A584" s="11"/>
      <c r="B584" s="11"/>
      <c r="C584" s="11"/>
      <c r="D584" s="11"/>
    </row>
    <row r="585" spans="1:4">
      <c r="A585" s="11"/>
      <c r="B585" s="11"/>
      <c r="C585" s="11"/>
      <c r="D585" s="11"/>
    </row>
    <row r="586" spans="1:4">
      <c r="A586" s="11"/>
      <c r="B586" s="11"/>
      <c r="C586" s="11"/>
      <c r="D586" s="11"/>
    </row>
    <row r="587" spans="1:4">
      <c r="A587" s="11"/>
      <c r="B587" s="11"/>
      <c r="C587" s="11"/>
      <c r="D587" s="11"/>
    </row>
    <row r="588" spans="1:4">
      <c r="A588" s="11"/>
      <c r="B588" s="11"/>
      <c r="C588" s="11"/>
      <c r="D588" s="11"/>
    </row>
    <row r="589" spans="1:4">
      <c r="A589" s="11"/>
      <c r="B589" s="11"/>
      <c r="C589" s="11"/>
      <c r="D589" s="11"/>
    </row>
    <row r="590" spans="1:4">
      <c r="A590" s="11"/>
      <c r="B590" s="11"/>
      <c r="C590" s="11"/>
      <c r="D590" s="11"/>
    </row>
    <row r="591" spans="1:4">
      <c r="A591" s="11"/>
      <c r="B591" s="11"/>
      <c r="C591" s="11"/>
      <c r="D591" s="11"/>
    </row>
    <row r="592" spans="1:4">
      <c r="A592" s="11"/>
      <c r="B592" s="11"/>
      <c r="C592" s="11"/>
      <c r="D592" s="11"/>
    </row>
    <row r="593" spans="1:4">
      <c r="A593" s="11"/>
      <c r="B593" s="11"/>
      <c r="C593" s="11"/>
      <c r="D593" s="11"/>
    </row>
    <row r="594" spans="1:4">
      <c r="A594" s="11"/>
      <c r="B594" s="11"/>
      <c r="C594" s="11"/>
      <c r="D594" s="11"/>
    </row>
    <row r="595" spans="1:4">
      <c r="A595" s="11"/>
      <c r="B595" s="11"/>
      <c r="C595" s="11"/>
      <c r="D595" s="11"/>
    </row>
    <row r="596" spans="1:4">
      <c r="A596" s="11"/>
      <c r="B596" s="11"/>
      <c r="C596" s="11"/>
      <c r="D596" s="11"/>
    </row>
    <row r="597" spans="1:4">
      <c r="A597" s="11"/>
      <c r="B597" s="11"/>
      <c r="C597" s="11"/>
      <c r="D597" s="11"/>
    </row>
    <row r="598" spans="1:4">
      <c r="A598" s="11"/>
      <c r="B598" s="11"/>
      <c r="C598" s="11"/>
      <c r="D598" s="11"/>
    </row>
    <row r="599" spans="1:4">
      <c r="A599" s="11"/>
      <c r="B599" s="11"/>
      <c r="C599" s="11"/>
      <c r="D599" s="11"/>
    </row>
    <row r="600" spans="1:4">
      <c r="A600" s="11"/>
      <c r="B600" s="11"/>
      <c r="C600" s="11"/>
      <c r="D600" s="11"/>
    </row>
    <row r="601" spans="1:4">
      <c r="A601" s="11"/>
      <c r="B601" s="11"/>
      <c r="C601" s="11"/>
      <c r="D601" s="11"/>
    </row>
    <row r="602" spans="1:4">
      <c r="A602" s="11"/>
      <c r="B602" s="11"/>
      <c r="C602" s="11"/>
      <c r="D602" s="11"/>
    </row>
    <row r="603" spans="1:4">
      <c r="A603" s="11"/>
      <c r="B603" s="11"/>
      <c r="C603" s="11"/>
      <c r="D603" s="11"/>
    </row>
    <row r="604" spans="1:4">
      <c r="A604" s="11"/>
      <c r="B604" s="11"/>
      <c r="C604" s="11"/>
      <c r="D604" s="11"/>
    </row>
    <row r="605" spans="1:4">
      <c r="A605" s="11"/>
      <c r="B605" s="11"/>
      <c r="C605" s="11"/>
      <c r="D605" s="11"/>
    </row>
    <row r="606" spans="1:4">
      <c r="A606" s="11"/>
      <c r="B606" s="11"/>
      <c r="C606" s="11"/>
      <c r="D606" s="11"/>
    </row>
    <row r="607" spans="1:4">
      <c r="A607" s="11"/>
      <c r="B607" s="11"/>
      <c r="C607" s="11"/>
      <c r="D607" s="11"/>
    </row>
    <row r="608" spans="1:4">
      <c r="A608" s="11"/>
      <c r="B608" s="11"/>
      <c r="C608" s="11"/>
      <c r="D608" s="11"/>
    </row>
    <row r="609" spans="1:4">
      <c r="A609" s="11"/>
      <c r="B609" s="11"/>
      <c r="C609" s="11"/>
      <c r="D609" s="11"/>
    </row>
    <row r="610" spans="1:4">
      <c r="A610" s="11"/>
      <c r="B610" s="11"/>
      <c r="C610" s="11"/>
      <c r="D610" s="11"/>
    </row>
    <row r="611" spans="1:4">
      <c r="A611" s="11"/>
      <c r="B611" s="11"/>
      <c r="C611" s="11"/>
      <c r="D611" s="11"/>
    </row>
    <row r="612" spans="1:4">
      <c r="A612" s="11"/>
      <c r="B612" s="11"/>
      <c r="C612" s="11"/>
      <c r="D612" s="11"/>
    </row>
    <row r="613" spans="1:4">
      <c r="A613" s="11"/>
      <c r="B613" s="11"/>
      <c r="C613" s="11"/>
      <c r="D613" s="11"/>
    </row>
    <row r="614" spans="1:4">
      <c r="A614" s="11"/>
      <c r="B614" s="11"/>
      <c r="C614" s="11"/>
      <c r="D614" s="11"/>
    </row>
    <row r="615" spans="1:4">
      <c r="A615" s="11"/>
      <c r="B615" s="11"/>
      <c r="C615" s="11"/>
      <c r="D615" s="11"/>
    </row>
    <row r="616" spans="1:4">
      <c r="A616" s="11"/>
      <c r="B616" s="11"/>
      <c r="C616" s="11"/>
      <c r="D616" s="11"/>
    </row>
    <row r="617" spans="1:4">
      <c r="A617" s="11"/>
      <c r="B617" s="11"/>
      <c r="C617" s="11"/>
      <c r="D617" s="11"/>
    </row>
    <row r="618" spans="1:4">
      <c r="A618" s="11"/>
      <c r="B618" s="11"/>
      <c r="C618" s="11"/>
      <c r="D618" s="11"/>
    </row>
    <row r="619" spans="1:4">
      <c r="A619" s="11"/>
      <c r="B619" s="11"/>
      <c r="C619" s="11"/>
      <c r="D619" s="11"/>
    </row>
    <row r="620" spans="1:4">
      <c r="A620" s="11"/>
      <c r="B620" s="11"/>
      <c r="C620" s="11"/>
      <c r="D620" s="11"/>
    </row>
    <row r="621" spans="1:4">
      <c r="A621" s="11"/>
      <c r="B621" s="11"/>
      <c r="C621" s="11"/>
      <c r="D621" s="11"/>
    </row>
    <row r="622" spans="1:4">
      <c r="A622" s="11"/>
      <c r="B622" s="11"/>
      <c r="C622" s="11"/>
      <c r="D622" s="11"/>
    </row>
    <row r="623" spans="1:4">
      <c r="A623" s="11"/>
      <c r="B623" s="11"/>
      <c r="C623" s="11"/>
      <c r="D623" s="11"/>
    </row>
    <row r="624" spans="1:4">
      <c r="A624" s="11"/>
      <c r="B624" s="11"/>
      <c r="C624" s="11"/>
      <c r="D624" s="11"/>
    </row>
    <row r="625" spans="1:4">
      <c r="A625" s="11"/>
      <c r="B625" s="11"/>
      <c r="C625" s="11"/>
      <c r="D625" s="11"/>
    </row>
    <row r="626" spans="1:4">
      <c r="A626" s="11"/>
      <c r="B626" s="11"/>
      <c r="C626" s="11"/>
      <c r="D626" s="11"/>
    </row>
    <row r="627" spans="1:4">
      <c r="A627" s="11"/>
      <c r="B627" s="11"/>
      <c r="C627" s="11"/>
      <c r="D627" s="11"/>
    </row>
    <row r="628" spans="1:4">
      <c r="A628" s="11"/>
      <c r="B628" s="11"/>
      <c r="C628" s="11"/>
      <c r="D628" s="11"/>
    </row>
    <row r="629" spans="1:4">
      <c r="A629" s="11"/>
      <c r="B629" s="11"/>
      <c r="C629" s="11"/>
      <c r="D629" s="11"/>
    </row>
    <row r="630" spans="1:4">
      <c r="A630" s="11"/>
      <c r="B630" s="11"/>
      <c r="C630" s="11"/>
      <c r="D630" s="11"/>
    </row>
    <row r="631" spans="1:4">
      <c r="A631" s="11"/>
      <c r="B631" s="11"/>
      <c r="C631" s="11"/>
      <c r="D631" s="11"/>
    </row>
    <row r="632" spans="1:4">
      <c r="A632" s="11"/>
      <c r="B632" s="11"/>
      <c r="C632" s="11"/>
      <c r="D632" s="11"/>
    </row>
    <row r="633" spans="1:4">
      <c r="A633" s="11"/>
      <c r="B633" s="11"/>
      <c r="C633" s="11"/>
      <c r="D633" s="11"/>
    </row>
    <row r="634" spans="1:4">
      <c r="A634" s="11"/>
      <c r="B634" s="11"/>
      <c r="C634" s="11"/>
      <c r="D634" s="11"/>
    </row>
    <row r="635" spans="1:4">
      <c r="A635" s="11"/>
      <c r="B635" s="11"/>
      <c r="C635" s="11"/>
      <c r="D635" s="11"/>
    </row>
    <row r="636" spans="1:4">
      <c r="A636" s="11"/>
      <c r="B636" s="11"/>
      <c r="C636" s="11"/>
      <c r="D636" s="11"/>
    </row>
    <row r="637" spans="1:4">
      <c r="A637" s="11"/>
      <c r="B637" s="11"/>
      <c r="C637" s="11"/>
      <c r="D637" s="11"/>
    </row>
    <row r="638" spans="1:4">
      <c r="A638" s="11"/>
      <c r="B638" s="11"/>
      <c r="C638" s="11"/>
      <c r="D638" s="11"/>
    </row>
    <row r="639" spans="1:4">
      <c r="A639" s="11"/>
      <c r="B639" s="11"/>
      <c r="C639" s="11"/>
      <c r="D639" s="11"/>
    </row>
    <row r="640" spans="1:4">
      <c r="A640" s="11"/>
      <c r="B640" s="11"/>
      <c r="C640" s="11"/>
      <c r="D640" s="11"/>
    </row>
    <row r="641" spans="1:4">
      <c r="A641" s="11"/>
      <c r="B641" s="11"/>
      <c r="C641" s="11"/>
      <c r="D641" s="11"/>
    </row>
    <row r="642" spans="1:4">
      <c r="A642" s="11"/>
      <c r="B642" s="11"/>
      <c r="C642" s="11"/>
      <c r="D642" s="11"/>
    </row>
    <row r="643" spans="1:4">
      <c r="A643" s="11"/>
      <c r="B643" s="11"/>
      <c r="C643" s="11"/>
      <c r="D643" s="11"/>
    </row>
    <row r="644" spans="1:4">
      <c r="A644" s="11"/>
      <c r="B644" s="11"/>
      <c r="C644" s="11"/>
      <c r="D644" s="11"/>
    </row>
    <row r="645" spans="1:4">
      <c r="A645" s="11"/>
      <c r="B645" s="11"/>
      <c r="C645" s="11"/>
      <c r="D645" s="11"/>
    </row>
    <row r="646" spans="1:4">
      <c r="A646" s="11"/>
      <c r="B646" s="11"/>
      <c r="C646" s="11"/>
      <c r="D646" s="11"/>
    </row>
    <row r="647" spans="1:4">
      <c r="A647" s="11"/>
      <c r="B647" s="11"/>
      <c r="C647" s="11"/>
      <c r="D647" s="11"/>
    </row>
    <row r="648" spans="1:4">
      <c r="A648" s="11"/>
      <c r="B648" s="11"/>
      <c r="C648" s="11"/>
      <c r="D648" s="11"/>
    </row>
    <row r="649" spans="1:4">
      <c r="A649" s="11"/>
      <c r="B649" s="11"/>
      <c r="C649" s="11"/>
      <c r="D649" s="11"/>
    </row>
    <row r="650" spans="1:4">
      <c r="A650" s="11"/>
      <c r="B650" s="11"/>
      <c r="C650" s="11"/>
      <c r="D650" s="11"/>
    </row>
    <row r="651" spans="1:4">
      <c r="A651" s="11"/>
      <c r="B651" s="11"/>
      <c r="C651" s="11"/>
      <c r="D651" s="11"/>
    </row>
    <row r="652" spans="1:4">
      <c r="A652" s="11"/>
      <c r="B652" s="11"/>
      <c r="C652" s="11"/>
      <c r="D652" s="11"/>
    </row>
    <row r="653" spans="1:4">
      <c r="A653" s="11"/>
      <c r="B653" s="11"/>
      <c r="C653" s="11"/>
      <c r="D653" s="11"/>
    </row>
    <row r="654" spans="1:4">
      <c r="A654" s="11"/>
      <c r="B654" s="11"/>
      <c r="C654" s="11"/>
      <c r="D654" s="11"/>
    </row>
    <row r="655" spans="1:4">
      <c r="A655" s="11"/>
      <c r="B655" s="11"/>
      <c r="C655" s="11"/>
      <c r="D655" s="11"/>
    </row>
    <row r="656" spans="1:4">
      <c r="A656" s="11"/>
      <c r="B656" s="11"/>
      <c r="C656" s="11"/>
      <c r="D656" s="11"/>
    </row>
    <row r="657" spans="1:4">
      <c r="A657" s="11"/>
      <c r="B657" s="11"/>
      <c r="C657" s="11"/>
      <c r="D657" s="11"/>
    </row>
    <row r="658" spans="1:4">
      <c r="A658" s="11"/>
      <c r="B658" s="11"/>
      <c r="C658" s="11"/>
      <c r="D658" s="11"/>
    </row>
    <row r="659" spans="1:4">
      <c r="A659" s="11"/>
      <c r="B659" s="11"/>
      <c r="C659" s="11"/>
      <c r="D659" s="11"/>
    </row>
    <row r="660" spans="1:4">
      <c r="A660" s="11"/>
      <c r="B660" s="11"/>
      <c r="C660" s="11"/>
      <c r="D660" s="11"/>
    </row>
    <row r="661" spans="1:4">
      <c r="A661" s="11"/>
      <c r="B661" s="11"/>
      <c r="C661" s="11"/>
      <c r="D661" s="11"/>
    </row>
    <row r="662" spans="1:4">
      <c r="A662" s="11"/>
      <c r="B662" s="11"/>
      <c r="C662" s="11"/>
      <c r="D662" s="11"/>
    </row>
    <row r="663" spans="1:4">
      <c r="A663" s="11"/>
      <c r="B663" s="11"/>
      <c r="C663" s="11"/>
      <c r="D663" s="11"/>
    </row>
    <row r="664" spans="1:4">
      <c r="A664" s="11"/>
      <c r="B664" s="11"/>
      <c r="C664" s="11"/>
      <c r="D664" s="11"/>
    </row>
    <row r="665" spans="1:4">
      <c r="A665" s="11"/>
      <c r="B665" s="11"/>
      <c r="C665" s="11"/>
      <c r="D665" s="11"/>
    </row>
    <row r="666" spans="1:4">
      <c r="A666" s="11"/>
      <c r="B666" s="11"/>
      <c r="C666" s="11"/>
      <c r="D666" s="11"/>
    </row>
    <row r="667" spans="1:4">
      <c r="A667" s="11"/>
      <c r="B667" s="11"/>
      <c r="C667" s="11"/>
      <c r="D667" s="11"/>
    </row>
    <row r="668" spans="1:4">
      <c r="A668" s="11"/>
      <c r="B668" s="11"/>
      <c r="C668" s="11"/>
      <c r="D668" s="11"/>
    </row>
    <row r="669" spans="1:4">
      <c r="A669" s="11"/>
      <c r="B669" s="11"/>
      <c r="C669" s="11"/>
      <c r="D669" s="11"/>
    </row>
    <row r="670" spans="1:4">
      <c r="A670" s="11"/>
      <c r="B670" s="11"/>
      <c r="C670" s="11"/>
      <c r="D670" s="11"/>
    </row>
    <row r="671" spans="1:4">
      <c r="A671" s="11"/>
      <c r="B671" s="11"/>
      <c r="C671" s="11"/>
      <c r="D671" s="11"/>
    </row>
    <row r="672" spans="1:4">
      <c r="A672" s="11"/>
      <c r="B672" s="11"/>
      <c r="C672" s="11"/>
      <c r="D672" s="11"/>
    </row>
    <row r="673" spans="1:4">
      <c r="A673" s="11"/>
      <c r="B673" s="11"/>
      <c r="C673" s="11"/>
      <c r="D673" s="11"/>
    </row>
    <row r="674" spans="1:4">
      <c r="A674" s="11"/>
      <c r="B674" s="11"/>
      <c r="C674" s="11"/>
      <c r="D674" s="11"/>
    </row>
    <row r="675" spans="1:4">
      <c r="A675" s="11"/>
      <c r="B675" s="11"/>
      <c r="C675" s="11"/>
      <c r="D675" s="11"/>
    </row>
    <row r="676" spans="1:4">
      <c r="A676" s="11"/>
      <c r="B676" s="11"/>
      <c r="C676" s="11"/>
      <c r="D676" s="11"/>
    </row>
    <row r="677" spans="1:4">
      <c r="A677" s="11"/>
      <c r="B677" s="11"/>
      <c r="C677" s="11"/>
      <c r="D677" s="11"/>
    </row>
    <row r="678" spans="1:4">
      <c r="A678" s="11"/>
      <c r="B678" s="11"/>
      <c r="C678" s="11"/>
      <c r="D678" s="11"/>
    </row>
    <row r="679" spans="1:4">
      <c r="A679" s="11"/>
      <c r="B679" s="11"/>
      <c r="C679" s="11"/>
      <c r="D679" s="11"/>
    </row>
    <row r="680" spans="1:4">
      <c r="A680" s="11"/>
      <c r="B680" s="11"/>
      <c r="C680" s="11"/>
      <c r="D680" s="11"/>
    </row>
    <row r="681" spans="1:4">
      <c r="A681" s="11"/>
      <c r="B681" s="11"/>
      <c r="C681" s="11"/>
      <c r="D681" s="11"/>
    </row>
    <row r="682" spans="1:4">
      <c r="A682" s="11"/>
      <c r="B682" s="11"/>
      <c r="C682" s="11"/>
      <c r="D682" s="11"/>
    </row>
    <row r="683" spans="1:4">
      <c r="A683" s="11"/>
      <c r="B683" s="11"/>
      <c r="C683" s="11"/>
      <c r="D683" s="11"/>
    </row>
    <row r="684" spans="1:4">
      <c r="A684" s="11"/>
      <c r="B684" s="11"/>
      <c r="C684" s="11"/>
      <c r="D684" s="11"/>
    </row>
    <row r="685" spans="1:4">
      <c r="A685" s="11"/>
      <c r="B685" s="11"/>
      <c r="C685" s="11"/>
      <c r="D685" s="11"/>
    </row>
    <row r="686" spans="1:4">
      <c r="A686" s="11"/>
      <c r="B686" s="11"/>
      <c r="C686" s="11"/>
      <c r="D686" s="11"/>
    </row>
    <row r="687" spans="1:4">
      <c r="A687" s="11"/>
      <c r="B687" s="11"/>
      <c r="C687" s="11"/>
      <c r="D687" s="11"/>
    </row>
    <row r="688" spans="1:4">
      <c r="A688" s="11"/>
      <c r="B688" s="11"/>
      <c r="C688" s="11"/>
      <c r="D688" s="11"/>
    </row>
    <row r="689" spans="1:4">
      <c r="A689" s="11"/>
      <c r="B689" s="11"/>
      <c r="C689" s="11"/>
      <c r="D689" s="11"/>
    </row>
    <row r="690" spans="1:4">
      <c r="A690" s="11"/>
      <c r="B690" s="11"/>
      <c r="C690" s="11"/>
      <c r="D690" s="11"/>
    </row>
    <row r="691" spans="1:4">
      <c r="A691" s="11"/>
      <c r="B691" s="11"/>
      <c r="C691" s="11"/>
      <c r="D691" s="11"/>
    </row>
    <row r="692" spans="1:4">
      <c r="A692" s="11"/>
      <c r="B692" s="11"/>
      <c r="C692" s="11"/>
      <c r="D692" s="11"/>
    </row>
    <row r="693" spans="1:4">
      <c r="A693" s="11"/>
      <c r="B693" s="11"/>
      <c r="C693" s="11"/>
      <c r="D693" s="11"/>
    </row>
    <row r="694" spans="1:4">
      <c r="A694" s="11"/>
      <c r="B694" s="11"/>
      <c r="C694" s="11"/>
      <c r="D694" s="11"/>
    </row>
    <row r="695" spans="1:4">
      <c r="A695" s="11"/>
      <c r="B695" s="11"/>
      <c r="C695" s="11"/>
      <c r="D695" s="11"/>
    </row>
    <row r="696" spans="1:4">
      <c r="A696" s="11"/>
      <c r="B696" s="11"/>
      <c r="C696" s="11"/>
      <c r="D696" s="11"/>
    </row>
    <row r="697" spans="1:4">
      <c r="A697" s="11"/>
      <c r="B697" s="11"/>
      <c r="C697" s="11"/>
      <c r="D697" s="11"/>
    </row>
    <row r="698" spans="1:4">
      <c r="A698" s="11"/>
      <c r="B698" s="11"/>
      <c r="C698" s="11"/>
      <c r="D698" s="11"/>
    </row>
    <row r="699" spans="1:4">
      <c r="A699" s="11"/>
      <c r="B699" s="11"/>
      <c r="C699" s="11"/>
      <c r="D699" s="11"/>
    </row>
    <row r="700" spans="1:4">
      <c r="A700" s="11"/>
      <c r="B700" s="11"/>
      <c r="C700" s="11"/>
      <c r="D700" s="11"/>
    </row>
    <row r="701" spans="1:4">
      <c r="A701" s="11"/>
      <c r="B701" s="11"/>
      <c r="C701" s="11"/>
      <c r="D701" s="11"/>
    </row>
    <row r="702" spans="1:4">
      <c r="A702" s="11"/>
      <c r="B702" s="11"/>
      <c r="C702" s="11"/>
      <c r="D702" s="11"/>
    </row>
    <row r="703" spans="1:4">
      <c r="A703" s="11"/>
      <c r="B703" s="11"/>
      <c r="C703" s="11"/>
      <c r="D703" s="11"/>
    </row>
    <row r="704" spans="1:4">
      <c r="A704" s="11"/>
      <c r="B704" s="11"/>
      <c r="C704" s="11"/>
      <c r="D704" s="11"/>
    </row>
    <row r="705" spans="1:4">
      <c r="A705" s="11"/>
      <c r="B705" s="11"/>
      <c r="C705" s="11"/>
      <c r="D705" s="11"/>
    </row>
    <row r="706" spans="1:4">
      <c r="A706" s="11"/>
      <c r="B706" s="11"/>
      <c r="C706" s="11"/>
      <c r="D706" s="11"/>
    </row>
    <row r="707" spans="1:4">
      <c r="A707" s="11"/>
      <c r="B707" s="11"/>
      <c r="C707" s="11"/>
      <c r="D707" s="11"/>
    </row>
    <row r="708" spans="1:4">
      <c r="A708" s="11"/>
      <c r="B708" s="11"/>
      <c r="C708" s="11"/>
      <c r="D708" s="11"/>
    </row>
    <row r="709" spans="1:4">
      <c r="A709" s="11"/>
      <c r="B709" s="11"/>
      <c r="C709" s="11"/>
      <c r="D709" s="11"/>
    </row>
    <row r="710" spans="1:4">
      <c r="A710" s="11"/>
      <c r="B710" s="11"/>
      <c r="C710" s="11"/>
      <c r="D710" s="11"/>
    </row>
    <row r="711" spans="1:4">
      <c r="A711" s="11"/>
      <c r="B711" s="11"/>
      <c r="C711" s="11"/>
      <c r="D711" s="11"/>
    </row>
    <row r="712" spans="1:4">
      <c r="A712" s="11"/>
      <c r="B712" s="11"/>
      <c r="C712" s="11"/>
      <c r="D712" s="11"/>
    </row>
    <row r="713" spans="1:4">
      <c r="A713" s="11"/>
      <c r="B713" s="11"/>
      <c r="C713" s="11"/>
      <c r="D713" s="11"/>
    </row>
    <row r="714" spans="1:4">
      <c r="A714" s="11"/>
      <c r="B714" s="11"/>
      <c r="C714" s="11"/>
      <c r="D714" s="11"/>
    </row>
    <row r="715" spans="1:4">
      <c r="A715" s="11"/>
      <c r="B715" s="11"/>
      <c r="C715" s="11"/>
      <c r="D715" s="11"/>
    </row>
    <row r="716" spans="1:4">
      <c r="A716" s="11"/>
      <c r="B716" s="11"/>
      <c r="C716" s="11"/>
      <c r="D716" s="11"/>
    </row>
    <row r="717" spans="1:4">
      <c r="A717" s="11"/>
      <c r="B717" s="11"/>
      <c r="C717" s="11"/>
      <c r="D717" s="11"/>
    </row>
    <row r="718" spans="1:4">
      <c r="A718" s="11"/>
      <c r="B718" s="11"/>
      <c r="C718" s="11"/>
      <c r="D718" s="11"/>
    </row>
    <row r="719" spans="1:4">
      <c r="A719" s="11"/>
      <c r="B719" s="11"/>
      <c r="C719" s="11"/>
      <c r="D719" s="11"/>
    </row>
    <row r="720" spans="1:4">
      <c r="A720" s="11"/>
      <c r="B720" s="11"/>
      <c r="C720" s="11"/>
      <c r="D720" s="11"/>
    </row>
    <row r="721" spans="1:4">
      <c r="A721" s="11"/>
      <c r="B721" s="11"/>
      <c r="C721" s="11"/>
      <c r="D721" s="11"/>
    </row>
    <row r="722" spans="1:4">
      <c r="A722" s="11"/>
      <c r="B722" s="11"/>
      <c r="C722" s="11"/>
      <c r="D722" s="11"/>
    </row>
    <row r="723" spans="1:4">
      <c r="A723" s="11"/>
      <c r="B723" s="11"/>
      <c r="C723" s="11"/>
      <c r="D723" s="11"/>
    </row>
    <row r="724" spans="1:4">
      <c r="A724" s="11"/>
      <c r="B724" s="11"/>
      <c r="C724" s="11"/>
      <c r="D724" s="11"/>
    </row>
    <row r="725" spans="1:4">
      <c r="A725" s="11"/>
      <c r="B725" s="11"/>
      <c r="C725" s="11"/>
      <c r="D725" s="11"/>
    </row>
    <row r="726" spans="1:4">
      <c r="A726" s="11"/>
      <c r="B726" s="11"/>
      <c r="C726" s="11"/>
      <c r="D726" s="11"/>
    </row>
    <row r="727" spans="1:4">
      <c r="A727" s="11"/>
      <c r="B727" s="11"/>
      <c r="C727" s="11"/>
      <c r="D727" s="11"/>
    </row>
    <row r="728" spans="1:4">
      <c r="A728" s="11"/>
      <c r="B728" s="11"/>
      <c r="C728" s="11"/>
      <c r="D728" s="11"/>
    </row>
    <row r="729" spans="1:4">
      <c r="A729" s="11"/>
      <c r="B729" s="11"/>
      <c r="C729" s="11"/>
      <c r="D729" s="11"/>
    </row>
    <row r="730" spans="1:4">
      <c r="A730" s="11"/>
      <c r="B730" s="11"/>
      <c r="C730" s="11"/>
      <c r="D730" s="11"/>
    </row>
    <row r="731" spans="1:4">
      <c r="A731" s="11"/>
      <c r="B731" s="11"/>
      <c r="C731" s="11"/>
      <c r="D731" s="11"/>
    </row>
    <row r="732" spans="1:4">
      <c r="A732" s="11"/>
      <c r="B732" s="11"/>
      <c r="C732" s="11"/>
      <c r="D732" s="11"/>
    </row>
    <row r="733" spans="1:4">
      <c r="A733" s="11"/>
      <c r="B733" s="11"/>
      <c r="C733" s="11"/>
      <c r="D733" s="11"/>
    </row>
    <row r="734" spans="1:4">
      <c r="A734" s="11"/>
      <c r="B734" s="11"/>
      <c r="C734" s="11"/>
      <c r="D734" s="11"/>
    </row>
    <row r="735" spans="1:4">
      <c r="A735" s="11"/>
      <c r="B735" s="11"/>
      <c r="C735" s="11"/>
      <c r="D735" s="11"/>
    </row>
    <row r="736" spans="1:4">
      <c r="A736" s="11"/>
      <c r="B736" s="11"/>
      <c r="C736" s="11"/>
      <c r="D736" s="11"/>
    </row>
    <row r="737" spans="1:4">
      <c r="A737" s="11"/>
      <c r="B737" s="11"/>
      <c r="C737" s="11"/>
      <c r="D737" s="11"/>
    </row>
    <row r="738" spans="1:4">
      <c r="A738" s="11"/>
      <c r="B738" s="11"/>
      <c r="C738" s="11"/>
      <c r="D738" s="11"/>
    </row>
  </sheetData>
  <autoFilter ref="A1:D243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AD7C-F888-46DA-8D4D-4C89322E9D65}">
  <dimension ref="A1:F493"/>
  <sheetViews>
    <sheetView topLeftCell="A358" workbookViewId="0">
      <selection activeCell="C459" sqref="C424:C459"/>
    </sheetView>
  </sheetViews>
  <sheetFormatPr defaultColWidth="10.81640625" defaultRowHeight="14.5"/>
  <cols>
    <col min="1" max="1" width="10.453125" style="11" bestFit="1" customWidth="1"/>
    <col min="2" max="2" width="23.36328125" style="11" customWidth="1"/>
    <col min="3" max="3" width="25.81640625" style="11" bestFit="1" customWidth="1"/>
    <col min="4" max="4" width="14.6328125" style="11" customWidth="1"/>
    <col min="5" max="5" width="10.81640625" style="11"/>
    <col min="6" max="6" width="7.1796875" style="11" customWidth="1"/>
    <col min="7" max="16384" width="10.81640625" style="11"/>
  </cols>
  <sheetData>
    <row r="1" spans="1:6">
      <c r="A1" s="11" t="s">
        <v>83</v>
      </c>
    </row>
    <row r="2" spans="1:6">
      <c r="A2" s="11" t="s">
        <v>84</v>
      </c>
      <c r="E2" s="3"/>
      <c r="F2" s="11" t="s">
        <v>85</v>
      </c>
    </row>
    <row r="3" spans="1:6" ht="29">
      <c r="A3" s="12" t="s">
        <v>33</v>
      </c>
      <c r="B3" s="11" t="s">
        <v>2</v>
      </c>
      <c r="C3" s="12" t="s">
        <v>86</v>
      </c>
      <c r="E3" s="25"/>
      <c r="F3" s="11" t="s">
        <v>87</v>
      </c>
    </row>
    <row r="4" spans="1:6">
      <c r="A4" s="11" t="s">
        <v>35</v>
      </c>
      <c r="B4" s="11" t="s">
        <v>16</v>
      </c>
      <c r="C4" s="18">
        <v>200000</v>
      </c>
      <c r="E4" s="16"/>
      <c r="F4" s="11" t="s">
        <v>88</v>
      </c>
    </row>
    <row r="5" spans="1:6">
      <c r="A5" s="11" t="s">
        <v>37</v>
      </c>
      <c r="B5" s="11" t="s">
        <v>16</v>
      </c>
      <c r="C5" s="18">
        <v>200000</v>
      </c>
      <c r="E5" s="26"/>
      <c r="F5" s="11" t="s">
        <v>89</v>
      </c>
    </row>
    <row r="6" spans="1:6">
      <c r="A6" s="11" t="s">
        <v>38</v>
      </c>
      <c r="B6" s="11" t="s">
        <v>16</v>
      </c>
      <c r="C6" s="18">
        <v>200000</v>
      </c>
      <c r="E6" s="27"/>
      <c r="F6" s="11" t="s">
        <v>90</v>
      </c>
    </row>
    <row r="7" spans="1:6">
      <c r="A7" s="11" t="s">
        <v>39</v>
      </c>
      <c r="B7" s="11" t="s">
        <v>16</v>
      </c>
      <c r="C7" s="18">
        <v>200000</v>
      </c>
      <c r="E7" s="28"/>
      <c r="F7" s="11" t="s">
        <v>91</v>
      </c>
    </row>
    <row r="8" spans="1:6" ht="16.5">
      <c r="A8" s="11" t="s">
        <v>40</v>
      </c>
      <c r="B8" s="11" t="s">
        <v>16</v>
      </c>
      <c r="C8" s="18">
        <v>200000</v>
      </c>
      <c r="E8" s="29"/>
      <c r="F8" s="11" t="s">
        <v>92</v>
      </c>
    </row>
    <row r="9" spans="1:6">
      <c r="A9" s="11" t="s">
        <v>41</v>
      </c>
      <c r="B9" s="11" t="s">
        <v>16</v>
      </c>
      <c r="C9" s="18">
        <v>200000</v>
      </c>
      <c r="E9" s="30"/>
      <c r="F9" s="11" t="s">
        <v>126</v>
      </c>
    </row>
    <row r="10" spans="1:6">
      <c r="A10" s="11" t="s">
        <v>42</v>
      </c>
      <c r="B10" s="11" t="s">
        <v>16</v>
      </c>
      <c r="C10" s="18">
        <v>200000</v>
      </c>
    </row>
    <row r="11" spans="1:6">
      <c r="A11" s="11" t="s">
        <v>43</v>
      </c>
      <c r="B11" s="11" t="s">
        <v>16</v>
      </c>
      <c r="C11" s="18">
        <v>200000</v>
      </c>
      <c r="E11" s="31"/>
      <c r="F11" s="11" t="s">
        <v>93</v>
      </c>
    </row>
    <row r="12" spans="1:6">
      <c r="A12" s="11" t="s">
        <v>44</v>
      </c>
      <c r="B12" s="11" t="s">
        <v>16</v>
      </c>
      <c r="C12" s="18">
        <v>200000</v>
      </c>
      <c r="E12" s="32"/>
      <c r="F12" s="11" t="s">
        <v>94</v>
      </c>
    </row>
    <row r="13" spans="1:6">
      <c r="A13" s="11" t="s">
        <v>45</v>
      </c>
      <c r="B13" s="11" t="s">
        <v>16</v>
      </c>
      <c r="C13" s="18">
        <v>200000</v>
      </c>
      <c r="E13" s="33"/>
      <c r="F13" s="11" t="s">
        <v>95</v>
      </c>
    </row>
    <row r="14" spans="1:6">
      <c r="A14" s="11" t="s">
        <v>46</v>
      </c>
      <c r="B14" s="11" t="s">
        <v>16</v>
      </c>
      <c r="C14" s="18">
        <v>200000</v>
      </c>
      <c r="E14" s="34"/>
      <c r="F14" s="11" t="s">
        <v>96</v>
      </c>
    </row>
    <row r="15" spans="1:6">
      <c r="A15" s="11" t="s">
        <v>47</v>
      </c>
      <c r="B15" s="11" t="s">
        <v>16</v>
      </c>
      <c r="C15" s="18">
        <v>200000</v>
      </c>
      <c r="E15" s="35"/>
      <c r="F15" s="11" t="s">
        <v>97</v>
      </c>
    </row>
    <row r="16" spans="1:6">
      <c r="A16" s="11" t="s">
        <v>48</v>
      </c>
      <c r="B16" s="11" t="s">
        <v>16</v>
      </c>
      <c r="C16" s="18">
        <v>200000</v>
      </c>
      <c r="E16" s="37"/>
      <c r="F16" s="11" t="s">
        <v>127</v>
      </c>
    </row>
    <row r="17" spans="1:6">
      <c r="A17" s="11" t="s">
        <v>50</v>
      </c>
      <c r="B17" s="11" t="s">
        <v>16</v>
      </c>
      <c r="C17" s="18">
        <v>200000</v>
      </c>
      <c r="E17" s="38"/>
      <c r="F17" s="11" t="s">
        <v>128</v>
      </c>
    </row>
    <row r="18" spans="1:6">
      <c r="A18" s="11" t="s">
        <v>51</v>
      </c>
      <c r="B18" s="11" t="s">
        <v>16</v>
      </c>
      <c r="C18" s="18">
        <v>200000</v>
      </c>
    </row>
    <row r="19" spans="1:6">
      <c r="A19" s="11" t="s">
        <v>52</v>
      </c>
      <c r="B19" s="11" t="s">
        <v>16</v>
      </c>
      <c r="C19" s="18">
        <v>200000</v>
      </c>
    </row>
    <row r="20" spans="1:6">
      <c r="A20" s="11" t="s">
        <v>53</v>
      </c>
      <c r="B20" s="11" t="s">
        <v>16</v>
      </c>
      <c r="C20" s="18">
        <v>200000</v>
      </c>
    </row>
    <row r="21" spans="1:6">
      <c r="A21" s="11" t="s">
        <v>54</v>
      </c>
      <c r="B21" s="11" t="s">
        <v>16</v>
      </c>
      <c r="C21" s="18">
        <v>200000</v>
      </c>
    </row>
    <row r="22" spans="1:6">
      <c r="A22" s="11" t="s">
        <v>55</v>
      </c>
      <c r="B22" s="11" t="s">
        <v>16</v>
      </c>
      <c r="C22" s="18">
        <v>200000</v>
      </c>
    </row>
    <row r="23" spans="1:6">
      <c r="A23" s="11" t="s">
        <v>57</v>
      </c>
      <c r="B23" s="11" t="s">
        <v>16</v>
      </c>
      <c r="C23" s="18">
        <v>200000</v>
      </c>
    </row>
    <row r="24" spans="1:6">
      <c r="A24" s="11" t="s">
        <v>58</v>
      </c>
      <c r="B24" s="11" t="s">
        <v>16</v>
      </c>
      <c r="C24" s="18">
        <v>200000</v>
      </c>
    </row>
    <row r="25" spans="1:6">
      <c r="A25" s="11" t="s">
        <v>59</v>
      </c>
      <c r="B25" s="11" t="s">
        <v>16</v>
      </c>
      <c r="C25" s="18">
        <v>200000</v>
      </c>
    </row>
    <row r="26" spans="1:6">
      <c r="A26" s="11" t="s">
        <v>60</v>
      </c>
      <c r="B26" s="11" t="s">
        <v>16</v>
      </c>
      <c r="C26" s="18">
        <v>200000</v>
      </c>
    </row>
    <row r="27" spans="1:6">
      <c r="A27" s="11" t="s">
        <v>62</v>
      </c>
      <c r="B27" s="11" t="s">
        <v>16</v>
      </c>
      <c r="C27" s="18">
        <v>200000</v>
      </c>
    </row>
    <row r="28" spans="1:6">
      <c r="A28" s="11" t="s">
        <v>63</v>
      </c>
      <c r="B28" s="11" t="s">
        <v>16</v>
      </c>
      <c r="C28" s="18">
        <v>200000</v>
      </c>
    </row>
    <row r="29" spans="1:6">
      <c r="A29" s="11" t="s">
        <v>64</v>
      </c>
      <c r="B29" s="11" t="s">
        <v>16</v>
      </c>
      <c r="C29" s="18">
        <v>200000</v>
      </c>
    </row>
    <row r="30" spans="1:6">
      <c r="A30" s="11" t="s">
        <v>35</v>
      </c>
      <c r="B30" s="11" t="s">
        <v>82</v>
      </c>
      <c r="C30" s="11">
        <v>800000</v>
      </c>
    </row>
    <row r="31" spans="1:6">
      <c r="A31" s="11" t="s">
        <v>36</v>
      </c>
      <c r="B31" s="11" t="s">
        <v>82</v>
      </c>
      <c r="C31" s="11">
        <v>800000</v>
      </c>
    </row>
    <row r="32" spans="1:6">
      <c r="A32" s="11" t="s">
        <v>37</v>
      </c>
      <c r="B32" s="11" t="s">
        <v>82</v>
      </c>
      <c r="C32" s="11">
        <v>800000</v>
      </c>
    </row>
    <row r="33" spans="1:3">
      <c r="A33" s="11" t="s">
        <v>38</v>
      </c>
      <c r="B33" s="11" t="s">
        <v>82</v>
      </c>
      <c r="C33" s="11">
        <v>800000</v>
      </c>
    </row>
    <row r="34" spans="1:3">
      <c r="A34" s="11" t="s">
        <v>39</v>
      </c>
      <c r="B34" s="11" t="s">
        <v>82</v>
      </c>
      <c r="C34" s="11">
        <v>800000</v>
      </c>
    </row>
    <row r="35" spans="1:3">
      <c r="A35" s="11" t="s">
        <v>40</v>
      </c>
      <c r="B35" s="11" t="s">
        <v>82</v>
      </c>
      <c r="C35" s="11">
        <v>800000</v>
      </c>
    </row>
    <row r="36" spans="1:3">
      <c r="A36" s="11" t="s">
        <v>41</v>
      </c>
      <c r="B36" s="11" t="s">
        <v>82</v>
      </c>
      <c r="C36" s="11">
        <v>800000</v>
      </c>
    </row>
    <row r="37" spans="1:3">
      <c r="A37" s="11" t="s">
        <v>42</v>
      </c>
      <c r="B37" s="11" t="s">
        <v>82</v>
      </c>
      <c r="C37" s="11">
        <v>800000</v>
      </c>
    </row>
    <row r="38" spans="1:3">
      <c r="A38" s="11" t="s">
        <v>43</v>
      </c>
      <c r="B38" s="11" t="s">
        <v>82</v>
      </c>
      <c r="C38" s="11">
        <v>800000</v>
      </c>
    </row>
    <row r="39" spans="1:3">
      <c r="A39" s="11" t="s">
        <v>44</v>
      </c>
      <c r="B39" s="11" t="s">
        <v>82</v>
      </c>
      <c r="C39" s="11">
        <v>800000</v>
      </c>
    </row>
    <row r="40" spans="1:3">
      <c r="A40" s="11" t="s">
        <v>45</v>
      </c>
      <c r="B40" s="11" t="s">
        <v>82</v>
      </c>
      <c r="C40" s="11">
        <v>800000</v>
      </c>
    </row>
    <row r="41" spans="1:3">
      <c r="A41" s="11" t="s">
        <v>46</v>
      </c>
      <c r="B41" s="11" t="s">
        <v>82</v>
      </c>
      <c r="C41" s="11">
        <v>800000</v>
      </c>
    </row>
    <row r="42" spans="1:3">
      <c r="A42" s="11" t="s">
        <v>47</v>
      </c>
      <c r="B42" s="11" t="s">
        <v>82</v>
      </c>
      <c r="C42" s="11">
        <v>800000</v>
      </c>
    </row>
    <row r="43" spans="1:3">
      <c r="A43" s="11" t="s">
        <v>48</v>
      </c>
      <c r="B43" s="11" t="s">
        <v>82</v>
      </c>
      <c r="C43" s="11">
        <v>800000</v>
      </c>
    </row>
    <row r="44" spans="1:3">
      <c r="A44" s="11" t="s">
        <v>49</v>
      </c>
      <c r="B44" s="11" t="s">
        <v>82</v>
      </c>
      <c r="C44" s="11">
        <v>800000</v>
      </c>
    </row>
    <row r="45" spans="1:3">
      <c r="A45" s="11" t="s">
        <v>50</v>
      </c>
      <c r="B45" s="11" t="s">
        <v>82</v>
      </c>
      <c r="C45" s="11">
        <v>800000</v>
      </c>
    </row>
    <row r="46" spans="1:3">
      <c r="A46" s="11" t="s">
        <v>51</v>
      </c>
      <c r="B46" s="11" t="s">
        <v>82</v>
      </c>
      <c r="C46" s="11">
        <v>800000</v>
      </c>
    </row>
    <row r="47" spans="1:3">
      <c r="A47" s="11" t="s">
        <v>52</v>
      </c>
      <c r="B47" s="11" t="s">
        <v>82</v>
      </c>
      <c r="C47" s="11">
        <v>800000</v>
      </c>
    </row>
    <row r="48" spans="1:3">
      <c r="A48" s="11" t="s">
        <v>53</v>
      </c>
      <c r="B48" s="11" t="s">
        <v>82</v>
      </c>
      <c r="C48" s="11">
        <v>800000</v>
      </c>
    </row>
    <row r="49" spans="1:3">
      <c r="A49" s="11" t="s">
        <v>54</v>
      </c>
      <c r="B49" s="11" t="s">
        <v>82</v>
      </c>
      <c r="C49" s="11">
        <v>800000</v>
      </c>
    </row>
    <row r="50" spans="1:3">
      <c r="A50" s="11" t="s">
        <v>55</v>
      </c>
      <c r="B50" s="11" t="s">
        <v>82</v>
      </c>
      <c r="C50" s="11">
        <v>800000</v>
      </c>
    </row>
    <row r="51" spans="1:3">
      <c r="A51" s="11" t="s">
        <v>56</v>
      </c>
      <c r="B51" s="11" t="s">
        <v>82</v>
      </c>
      <c r="C51" s="11">
        <v>800000</v>
      </c>
    </row>
    <row r="52" spans="1:3">
      <c r="A52" s="11" t="s">
        <v>57</v>
      </c>
      <c r="B52" s="11" t="s">
        <v>82</v>
      </c>
      <c r="C52" s="11">
        <v>800000</v>
      </c>
    </row>
    <row r="53" spans="1:3">
      <c r="A53" s="11" t="s">
        <v>65</v>
      </c>
      <c r="B53" s="11" t="s">
        <v>82</v>
      </c>
      <c r="C53" s="11">
        <v>800000</v>
      </c>
    </row>
    <row r="54" spans="1:3">
      <c r="A54" s="11" t="s">
        <v>66</v>
      </c>
      <c r="B54" s="11" t="s">
        <v>82</v>
      </c>
      <c r="C54" s="11">
        <v>800000</v>
      </c>
    </row>
    <row r="55" spans="1:3">
      <c r="A55" s="11" t="s">
        <v>67</v>
      </c>
      <c r="B55" s="11" t="s">
        <v>82</v>
      </c>
      <c r="C55" s="11">
        <v>800000</v>
      </c>
    </row>
    <row r="56" spans="1:3">
      <c r="A56" s="11" t="s">
        <v>68</v>
      </c>
      <c r="B56" s="11" t="s">
        <v>82</v>
      </c>
      <c r="C56" s="11">
        <v>800000</v>
      </c>
    </row>
    <row r="57" spans="1:3">
      <c r="A57" s="11" t="s">
        <v>69</v>
      </c>
      <c r="B57" s="11" t="s">
        <v>82</v>
      </c>
      <c r="C57" s="11">
        <v>800000</v>
      </c>
    </row>
    <row r="58" spans="1:3">
      <c r="A58" s="11" t="s">
        <v>58</v>
      </c>
      <c r="B58" s="11" t="s">
        <v>82</v>
      </c>
      <c r="C58" s="11">
        <v>800000</v>
      </c>
    </row>
    <row r="59" spans="1:3">
      <c r="A59" s="11" t="s">
        <v>59</v>
      </c>
      <c r="B59" s="11" t="s">
        <v>82</v>
      </c>
      <c r="C59" s="11">
        <v>800000</v>
      </c>
    </row>
    <row r="60" spans="1:3">
      <c r="A60" s="11" t="s">
        <v>60</v>
      </c>
      <c r="B60" s="11" t="s">
        <v>82</v>
      </c>
      <c r="C60" s="11">
        <v>800000</v>
      </c>
    </row>
    <row r="61" spans="1:3">
      <c r="A61" s="11" t="s">
        <v>61</v>
      </c>
      <c r="B61" s="11" t="s">
        <v>82</v>
      </c>
      <c r="C61" s="11">
        <v>800000</v>
      </c>
    </row>
    <row r="62" spans="1:3">
      <c r="A62" s="11" t="s">
        <v>62</v>
      </c>
      <c r="B62" s="11" t="s">
        <v>82</v>
      </c>
      <c r="C62" s="11">
        <v>800000</v>
      </c>
    </row>
    <row r="63" spans="1:3">
      <c r="A63" s="11" t="s">
        <v>63</v>
      </c>
      <c r="B63" s="11" t="s">
        <v>82</v>
      </c>
      <c r="C63" s="11">
        <v>800000</v>
      </c>
    </row>
    <row r="64" spans="1:3">
      <c r="A64" s="11" t="s">
        <v>64</v>
      </c>
      <c r="B64" s="11" t="s">
        <v>82</v>
      </c>
      <c r="C64" s="11">
        <v>800000</v>
      </c>
    </row>
    <row r="65" spans="1:3">
      <c r="A65" s="11" t="s">
        <v>35</v>
      </c>
      <c r="B65" s="11" t="s">
        <v>13</v>
      </c>
      <c r="C65" s="21">
        <v>1</v>
      </c>
    </row>
    <row r="66" spans="1:3">
      <c r="A66" s="11" t="s">
        <v>37</v>
      </c>
      <c r="B66" s="11" t="s">
        <v>13</v>
      </c>
      <c r="C66" s="21">
        <v>3.5</v>
      </c>
    </row>
    <row r="67" spans="1:3">
      <c r="A67" s="11" t="s">
        <v>40</v>
      </c>
      <c r="B67" s="11" t="s">
        <v>13</v>
      </c>
      <c r="C67" s="21">
        <v>4.4000000000000004</v>
      </c>
    </row>
    <row r="68" spans="1:3">
      <c r="A68" s="11" t="s">
        <v>41</v>
      </c>
      <c r="B68" s="11" t="s">
        <v>13</v>
      </c>
      <c r="C68" s="21">
        <v>300</v>
      </c>
    </row>
    <row r="69" spans="1:3">
      <c r="A69" s="11" t="s">
        <v>44</v>
      </c>
      <c r="B69" s="11" t="s">
        <v>13</v>
      </c>
      <c r="C69" s="21">
        <v>50</v>
      </c>
    </row>
    <row r="70" spans="1:3">
      <c r="A70" s="11" t="s">
        <v>46</v>
      </c>
      <c r="B70" s="11" t="s">
        <v>13</v>
      </c>
      <c r="C70" s="21">
        <v>80</v>
      </c>
    </row>
    <row r="71" spans="1:3">
      <c r="A71" s="11" t="s">
        <v>48</v>
      </c>
      <c r="B71" s="11" t="s">
        <v>13</v>
      </c>
      <c r="C71" s="21">
        <v>120</v>
      </c>
    </row>
    <row r="72" spans="1:3">
      <c r="A72" s="11" t="s">
        <v>50</v>
      </c>
      <c r="B72" s="11" t="s">
        <v>13</v>
      </c>
      <c r="C72" s="21">
        <v>57</v>
      </c>
    </row>
    <row r="73" spans="1:3">
      <c r="A73" s="11" t="s">
        <v>52</v>
      </c>
      <c r="B73" s="11" t="s">
        <v>13</v>
      </c>
      <c r="C73" s="21">
        <v>1000</v>
      </c>
    </row>
    <row r="74" spans="1:3">
      <c r="A74" s="11" t="s">
        <v>55</v>
      </c>
      <c r="B74" s="11" t="s">
        <v>13</v>
      </c>
      <c r="C74" s="21">
        <v>10</v>
      </c>
    </row>
    <row r="75" spans="1:3">
      <c r="A75" s="11" t="s">
        <v>59</v>
      </c>
      <c r="B75" s="11" t="s">
        <v>13</v>
      </c>
      <c r="C75" s="21">
        <v>75</v>
      </c>
    </row>
    <row r="76" spans="1:3">
      <c r="A76" s="11" t="s">
        <v>64</v>
      </c>
      <c r="B76" s="11" t="s">
        <v>13</v>
      </c>
      <c r="C76" s="21">
        <v>4</v>
      </c>
    </row>
    <row r="77" spans="1:3">
      <c r="A77" s="11" t="s">
        <v>35</v>
      </c>
      <c r="B77" s="11" t="s">
        <v>6</v>
      </c>
      <c r="C77" s="17">
        <v>200000</v>
      </c>
    </row>
    <row r="78" spans="1:3">
      <c r="A78" s="11" t="s">
        <v>36</v>
      </c>
      <c r="B78" s="11" t="s">
        <v>6</v>
      </c>
      <c r="C78" s="17">
        <v>200000</v>
      </c>
    </row>
    <row r="79" spans="1:3">
      <c r="A79" s="11" t="s">
        <v>37</v>
      </c>
      <c r="B79" s="11" t="s">
        <v>6</v>
      </c>
      <c r="C79" s="17">
        <v>200000</v>
      </c>
    </row>
    <row r="80" spans="1:3">
      <c r="A80" s="11" t="s">
        <v>38</v>
      </c>
      <c r="B80" s="11" t="s">
        <v>6</v>
      </c>
      <c r="C80" s="17">
        <v>200000</v>
      </c>
    </row>
    <row r="81" spans="1:3">
      <c r="A81" s="11" t="s">
        <v>40</v>
      </c>
      <c r="B81" s="11" t="s">
        <v>6</v>
      </c>
      <c r="C81" s="17">
        <v>200000</v>
      </c>
    </row>
    <row r="82" spans="1:3">
      <c r="A82" s="11" t="s">
        <v>41</v>
      </c>
      <c r="B82" s="11" t="s">
        <v>6</v>
      </c>
      <c r="C82" s="17">
        <v>200000</v>
      </c>
    </row>
    <row r="83" spans="1:3">
      <c r="A83" s="11" t="s">
        <v>42</v>
      </c>
      <c r="B83" s="11" t="s">
        <v>6</v>
      </c>
      <c r="C83" s="17">
        <v>200000</v>
      </c>
    </row>
    <row r="84" spans="1:3">
      <c r="A84" s="11" t="s">
        <v>43</v>
      </c>
      <c r="B84" s="11" t="s">
        <v>6</v>
      </c>
      <c r="C84" s="17">
        <v>200000</v>
      </c>
    </row>
    <row r="85" spans="1:3">
      <c r="A85" s="11" t="s">
        <v>44</v>
      </c>
      <c r="B85" s="11" t="s">
        <v>6</v>
      </c>
      <c r="C85" s="17">
        <v>200000</v>
      </c>
    </row>
    <row r="86" spans="1:3">
      <c r="A86" s="11" t="s">
        <v>45</v>
      </c>
      <c r="B86" s="11" t="s">
        <v>6</v>
      </c>
      <c r="C86" s="17">
        <v>200000</v>
      </c>
    </row>
    <row r="87" spans="1:3">
      <c r="A87" s="11" t="s">
        <v>46</v>
      </c>
      <c r="B87" s="11" t="s">
        <v>6</v>
      </c>
      <c r="C87" s="17">
        <v>200000</v>
      </c>
    </row>
    <row r="88" spans="1:3">
      <c r="A88" s="11" t="s">
        <v>47</v>
      </c>
      <c r="B88" s="11" t="s">
        <v>6</v>
      </c>
      <c r="C88" s="17">
        <v>200000</v>
      </c>
    </row>
    <row r="89" spans="1:3">
      <c r="A89" s="11" t="s">
        <v>49</v>
      </c>
      <c r="B89" s="11" t="s">
        <v>6</v>
      </c>
      <c r="C89" s="17">
        <v>200000</v>
      </c>
    </row>
    <row r="90" spans="1:3">
      <c r="A90" s="11" t="s">
        <v>50</v>
      </c>
      <c r="B90" s="11" t="s">
        <v>6</v>
      </c>
      <c r="C90" s="17">
        <v>200000</v>
      </c>
    </row>
    <row r="91" spans="1:3">
      <c r="A91" s="11" t="s">
        <v>51</v>
      </c>
      <c r="B91" s="11" t="s">
        <v>6</v>
      </c>
      <c r="C91" s="17">
        <v>200000</v>
      </c>
    </row>
    <row r="92" spans="1:3">
      <c r="A92" s="11" t="s">
        <v>52</v>
      </c>
      <c r="B92" s="11" t="s">
        <v>6</v>
      </c>
      <c r="C92" s="17">
        <v>200000</v>
      </c>
    </row>
    <row r="93" spans="1:3">
      <c r="A93" s="11" t="s">
        <v>55</v>
      </c>
      <c r="B93" s="11" t="s">
        <v>6</v>
      </c>
      <c r="C93" s="17">
        <v>200000</v>
      </c>
    </row>
    <row r="94" spans="1:3">
      <c r="A94" s="11" t="s">
        <v>57</v>
      </c>
      <c r="B94" s="11" t="s">
        <v>6</v>
      </c>
      <c r="C94" s="17">
        <v>200000</v>
      </c>
    </row>
    <row r="95" spans="1:3">
      <c r="A95" s="11" t="s">
        <v>58</v>
      </c>
      <c r="B95" s="11" t="s">
        <v>6</v>
      </c>
      <c r="C95" s="17">
        <v>200000</v>
      </c>
    </row>
    <row r="96" spans="1:3">
      <c r="A96" s="11" t="s">
        <v>59</v>
      </c>
      <c r="B96" s="11" t="s">
        <v>6</v>
      </c>
      <c r="C96" s="17">
        <v>200000</v>
      </c>
    </row>
    <row r="97" spans="1:3">
      <c r="A97" s="11" t="s">
        <v>60</v>
      </c>
      <c r="B97" s="11" t="s">
        <v>6</v>
      </c>
      <c r="C97" s="17">
        <v>200000</v>
      </c>
    </row>
    <row r="98" spans="1:3">
      <c r="A98" s="11" t="s">
        <v>62</v>
      </c>
      <c r="B98" s="11" t="s">
        <v>6</v>
      </c>
      <c r="C98" s="17">
        <v>200000</v>
      </c>
    </row>
    <row r="99" spans="1:3">
      <c r="A99" s="11" t="s">
        <v>63</v>
      </c>
      <c r="B99" s="11" t="s">
        <v>6</v>
      </c>
      <c r="C99" s="17">
        <v>200000</v>
      </c>
    </row>
    <row r="100" spans="1:3">
      <c r="A100" s="11" t="s">
        <v>64</v>
      </c>
      <c r="B100" s="11" t="s">
        <v>6</v>
      </c>
      <c r="C100" s="17">
        <v>200000</v>
      </c>
    </row>
    <row r="101" spans="1:3">
      <c r="A101" s="11" t="s">
        <v>44</v>
      </c>
      <c r="B101" s="11" t="s">
        <v>12</v>
      </c>
      <c r="C101" s="21">
        <v>120</v>
      </c>
    </row>
    <row r="102" spans="1:3">
      <c r="A102" s="11" t="s">
        <v>45</v>
      </c>
      <c r="B102" s="11" t="s">
        <v>12</v>
      </c>
      <c r="C102" s="21">
        <v>12</v>
      </c>
    </row>
    <row r="103" spans="1:3">
      <c r="A103" s="11" t="s">
        <v>46</v>
      </c>
      <c r="B103" s="11" t="s">
        <v>12</v>
      </c>
      <c r="C103" s="21">
        <v>450</v>
      </c>
    </row>
    <row r="104" spans="1:3">
      <c r="A104" s="11" t="s">
        <v>47</v>
      </c>
      <c r="B104" s="11" t="s">
        <v>12</v>
      </c>
      <c r="C104" s="21">
        <v>1500</v>
      </c>
    </row>
    <row r="105" spans="1:3">
      <c r="A105" s="11" t="s">
        <v>51</v>
      </c>
      <c r="B105" s="11" t="s">
        <v>12</v>
      </c>
      <c r="C105" s="21">
        <v>90</v>
      </c>
    </row>
    <row r="106" spans="1:3">
      <c r="A106" s="11" t="s">
        <v>52</v>
      </c>
      <c r="B106" s="11" t="s">
        <v>12</v>
      </c>
      <c r="C106" s="21">
        <v>7</v>
      </c>
    </row>
    <row r="107" spans="1:3">
      <c r="A107" s="11" t="s">
        <v>57</v>
      </c>
      <c r="B107" s="11" t="s">
        <v>12</v>
      </c>
      <c r="C107" s="21">
        <v>162</v>
      </c>
    </row>
    <row r="108" spans="1:3">
      <c r="A108" s="11" t="s">
        <v>59</v>
      </c>
      <c r="B108" s="11" t="s">
        <v>12</v>
      </c>
      <c r="C108" s="21">
        <v>300</v>
      </c>
    </row>
    <row r="109" spans="1:3">
      <c r="A109" s="11" t="s">
        <v>35</v>
      </c>
      <c r="B109" s="11" t="s">
        <v>98</v>
      </c>
      <c r="C109" s="17">
        <v>200000</v>
      </c>
    </row>
    <row r="110" spans="1:3">
      <c r="A110" s="11" t="s">
        <v>36</v>
      </c>
      <c r="B110" s="11" t="s">
        <v>98</v>
      </c>
      <c r="C110" s="17">
        <v>200000</v>
      </c>
    </row>
    <row r="111" spans="1:3">
      <c r="A111" s="11" t="s">
        <v>37</v>
      </c>
      <c r="B111" s="11" t="s">
        <v>98</v>
      </c>
      <c r="C111" s="17">
        <v>200000</v>
      </c>
    </row>
    <row r="112" spans="1:3">
      <c r="A112" s="11" t="s">
        <v>38</v>
      </c>
      <c r="B112" s="11" t="s">
        <v>98</v>
      </c>
      <c r="C112" s="17">
        <v>200000</v>
      </c>
    </row>
    <row r="113" spans="1:3">
      <c r="A113" s="11" t="s">
        <v>40</v>
      </c>
      <c r="B113" s="11" t="s">
        <v>98</v>
      </c>
      <c r="C113" s="17">
        <v>200000</v>
      </c>
    </row>
    <row r="114" spans="1:3">
      <c r="A114" s="11" t="s">
        <v>41</v>
      </c>
      <c r="B114" s="11" t="s">
        <v>98</v>
      </c>
      <c r="C114" s="17">
        <v>200000</v>
      </c>
    </row>
    <row r="115" spans="1:3">
      <c r="A115" s="11" t="s">
        <v>42</v>
      </c>
      <c r="B115" s="11" t="s">
        <v>98</v>
      </c>
      <c r="C115" s="17">
        <v>200000</v>
      </c>
    </row>
    <row r="116" spans="1:3">
      <c r="A116" s="11" t="s">
        <v>43</v>
      </c>
      <c r="B116" s="11" t="s">
        <v>98</v>
      </c>
      <c r="C116" s="17">
        <v>200000</v>
      </c>
    </row>
    <row r="117" spans="1:3">
      <c r="A117" s="11" t="s">
        <v>44</v>
      </c>
      <c r="B117" s="11" t="s">
        <v>98</v>
      </c>
      <c r="C117" s="17">
        <v>200000</v>
      </c>
    </row>
    <row r="118" spans="1:3">
      <c r="A118" s="11" t="s">
        <v>45</v>
      </c>
      <c r="B118" s="11" t="s">
        <v>98</v>
      </c>
      <c r="C118" s="17">
        <v>200000</v>
      </c>
    </row>
    <row r="119" spans="1:3">
      <c r="A119" s="11" t="s">
        <v>46</v>
      </c>
      <c r="B119" s="11" t="s">
        <v>98</v>
      </c>
      <c r="C119" s="17">
        <v>200000</v>
      </c>
    </row>
    <row r="120" spans="1:3">
      <c r="A120" s="11" t="s">
        <v>47</v>
      </c>
      <c r="B120" s="11" t="s">
        <v>98</v>
      </c>
      <c r="C120" s="17">
        <v>200000</v>
      </c>
    </row>
    <row r="121" spans="1:3">
      <c r="A121" s="11" t="s">
        <v>49</v>
      </c>
      <c r="B121" s="11" t="s">
        <v>98</v>
      </c>
      <c r="C121" s="17">
        <v>200000</v>
      </c>
    </row>
    <row r="122" spans="1:3">
      <c r="A122" s="11" t="s">
        <v>50</v>
      </c>
      <c r="B122" s="11" t="s">
        <v>98</v>
      </c>
      <c r="C122" s="17">
        <v>200000</v>
      </c>
    </row>
    <row r="123" spans="1:3">
      <c r="A123" s="11" t="s">
        <v>51</v>
      </c>
      <c r="B123" s="11" t="s">
        <v>98</v>
      </c>
      <c r="C123" s="17">
        <v>200000</v>
      </c>
    </row>
    <row r="124" spans="1:3">
      <c r="A124" s="11" t="s">
        <v>52</v>
      </c>
      <c r="B124" s="11" t="s">
        <v>98</v>
      </c>
      <c r="C124" s="17">
        <v>200000</v>
      </c>
    </row>
    <row r="125" spans="1:3">
      <c r="A125" s="11" t="s">
        <v>55</v>
      </c>
      <c r="B125" s="11" t="s">
        <v>98</v>
      </c>
      <c r="C125" s="17">
        <v>200000</v>
      </c>
    </row>
    <row r="126" spans="1:3">
      <c r="A126" s="11" t="s">
        <v>57</v>
      </c>
      <c r="B126" s="11" t="s">
        <v>98</v>
      </c>
      <c r="C126" s="17">
        <v>200000</v>
      </c>
    </row>
    <row r="127" spans="1:3">
      <c r="A127" s="11" t="s">
        <v>58</v>
      </c>
      <c r="B127" s="11" t="s">
        <v>98</v>
      </c>
      <c r="C127" s="17">
        <v>200000</v>
      </c>
    </row>
    <row r="128" spans="1:3">
      <c r="A128" s="11" t="s">
        <v>59</v>
      </c>
      <c r="B128" s="11" t="s">
        <v>98</v>
      </c>
      <c r="C128" s="17">
        <v>200000</v>
      </c>
    </row>
    <row r="129" spans="1:6">
      <c r="A129" s="11" t="s">
        <v>60</v>
      </c>
      <c r="B129" s="11" t="s">
        <v>98</v>
      </c>
      <c r="C129" s="17">
        <v>200000</v>
      </c>
    </row>
    <row r="130" spans="1:6">
      <c r="A130" s="11" t="s">
        <v>62</v>
      </c>
      <c r="B130" s="11" t="s">
        <v>98</v>
      </c>
      <c r="C130" s="17">
        <v>200000</v>
      </c>
    </row>
    <row r="131" spans="1:6">
      <c r="A131" s="11" t="s">
        <v>63</v>
      </c>
      <c r="B131" s="11" t="s">
        <v>98</v>
      </c>
      <c r="C131" s="17">
        <v>200000</v>
      </c>
    </row>
    <row r="132" spans="1:6">
      <c r="A132" s="11" t="s">
        <v>64</v>
      </c>
      <c r="B132" s="11" t="s">
        <v>98</v>
      </c>
      <c r="C132" s="17">
        <v>200000</v>
      </c>
    </row>
    <row r="133" spans="1:6">
      <c r="A133" s="11" t="s">
        <v>35</v>
      </c>
      <c r="B133" s="11" t="s">
        <v>99</v>
      </c>
      <c r="C133" s="13">
        <v>4530.309311830878</v>
      </c>
    </row>
    <row r="134" spans="1:6">
      <c r="A134" s="11" t="s">
        <v>36</v>
      </c>
      <c r="B134" s="11" t="s">
        <v>99</v>
      </c>
      <c r="C134" s="13">
        <v>1587</v>
      </c>
    </row>
    <row r="135" spans="1:6">
      <c r="A135" s="11" t="s">
        <v>38</v>
      </c>
      <c r="B135" s="11" t="s">
        <v>99</v>
      </c>
      <c r="C135" s="13">
        <v>4624.735944700461</v>
      </c>
    </row>
    <row r="136" spans="1:6">
      <c r="A136" s="11" t="s">
        <v>39</v>
      </c>
      <c r="B136" s="11" t="s">
        <v>99</v>
      </c>
      <c r="C136" s="13">
        <v>10150</v>
      </c>
      <c r="F136" s="11" t="s">
        <v>129</v>
      </c>
    </row>
    <row r="137" spans="1:6">
      <c r="A137" s="11" t="s">
        <v>40</v>
      </c>
      <c r="B137" s="11" t="s">
        <v>99</v>
      </c>
      <c r="C137" s="13">
        <v>1298.5227272727273</v>
      </c>
    </row>
    <row r="138" spans="1:6">
      <c r="A138" s="11" t="s">
        <v>41</v>
      </c>
      <c r="B138" s="11" t="s">
        <v>99</v>
      </c>
      <c r="C138" s="13">
        <v>2211.1999999999998</v>
      </c>
    </row>
    <row r="139" spans="1:6">
      <c r="A139" s="11" t="s">
        <v>44</v>
      </c>
      <c r="B139" s="11" t="s">
        <v>99</v>
      </c>
      <c r="C139" s="13">
        <v>39940.919738769531</v>
      </c>
    </row>
    <row r="140" spans="1:6">
      <c r="A140" s="11" t="s">
        <v>45</v>
      </c>
      <c r="B140" s="11" t="s">
        <v>99</v>
      </c>
      <c r="C140" s="13">
        <v>6542.5906423060533</v>
      </c>
    </row>
    <row r="141" spans="1:6">
      <c r="A141" s="11" t="s">
        <v>46</v>
      </c>
      <c r="B141" s="11" t="s">
        <v>99</v>
      </c>
      <c r="C141" s="13">
        <v>20711.65593789937</v>
      </c>
    </row>
    <row r="142" spans="1:6">
      <c r="A142" s="11" t="s">
        <v>47</v>
      </c>
      <c r="B142" s="11" t="s">
        <v>99</v>
      </c>
      <c r="C142" s="13">
        <v>7219</v>
      </c>
    </row>
    <row r="143" spans="1:6">
      <c r="A143" s="11" t="s">
        <v>48</v>
      </c>
      <c r="B143" s="11" t="s">
        <v>99</v>
      </c>
      <c r="C143" s="13">
        <v>3070.5</v>
      </c>
    </row>
    <row r="144" spans="1:6">
      <c r="A144" s="11" t="s">
        <v>50</v>
      </c>
      <c r="B144" s="11" t="s">
        <v>99</v>
      </c>
      <c r="C144" s="13">
        <v>46</v>
      </c>
    </row>
    <row r="145" spans="1:3">
      <c r="A145" s="11" t="s">
        <v>49</v>
      </c>
      <c r="B145" s="11" t="s">
        <v>99</v>
      </c>
      <c r="C145" s="13">
        <v>1407</v>
      </c>
    </row>
    <row r="146" spans="1:3">
      <c r="A146" s="11" t="s">
        <v>51</v>
      </c>
      <c r="B146" s="11" t="s">
        <v>99</v>
      </c>
      <c r="C146" s="13">
        <v>296</v>
      </c>
    </row>
    <row r="147" spans="1:3">
      <c r="A147" s="11" t="s">
        <v>52</v>
      </c>
      <c r="B147" s="11" t="s">
        <v>99</v>
      </c>
      <c r="C147" s="13">
        <v>12830.050171000099</v>
      </c>
    </row>
    <row r="148" spans="1:3">
      <c r="A148" s="11" t="s">
        <v>53</v>
      </c>
      <c r="B148" s="11" t="s">
        <v>99</v>
      </c>
      <c r="C148" s="13">
        <v>259</v>
      </c>
    </row>
    <row r="149" spans="1:3">
      <c r="A149" s="11" t="s">
        <v>54</v>
      </c>
      <c r="B149" s="11" t="s">
        <v>99</v>
      </c>
      <c r="C149" s="13">
        <v>45.6875</v>
      </c>
    </row>
    <row r="150" spans="1:3">
      <c r="A150" s="11" t="s">
        <v>56</v>
      </c>
      <c r="B150" s="11" t="s">
        <v>99</v>
      </c>
      <c r="C150" s="13">
        <v>503</v>
      </c>
    </row>
    <row r="151" spans="1:3">
      <c r="A151" s="11" t="s">
        <v>65</v>
      </c>
      <c r="B151" s="11" t="s">
        <v>99</v>
      </c>
      <c r="C151" s="13">
        <v>3950.7520000000004</v>
      </c>
    </row>
    <row r="152" spans="1:3">
      <c r="A152" s="11" t="s">
        <v>66</v>
      </c>
      <c r="B152" s="11" t="s">
        <v>99</v>
      </c>
      <c r="C152" s="13">
        <v>10028.832</v>
      </c>
    </row>
    <row r="153" spans="1:3">
      <c r="A153" s="11" t="s">
        <v>67</v>
      </c>
      <c r="B153" s="11" t="s">
        <v>99</v>
      </c>
      <c r="C153" s="13">
        <v>4558.5600000000004</v>
      </c>
    </row>
    <row r="154" spans="1:3">
      <c r="A154" s="11" t="s">
        <v>68</v>
      </c>
      <c r="B154" s="11" t="s">
        <v>99</v>
      </c>
      <c r="C154" s="13">
        <v>5470.2719999999999</v>
      </c>
    </row>
    <row r="155" spans="1:3">
      <c r="A155" s="11" t="s">
        <v>69</v>
      </c>
      <c r="B155" s="11" t="s">
        <v>99</v>
      </c>
      <c r="C155" s="13">
        <v>6381.9840000000004</v>
      </c>
    </row>
    <row r="156" spans="1:3">
      <c r="A156" s="11" t="s">
        <v>58</v>
      </c>
      <c r="B156" s="11" t="s">
        <v>99</v>
      </c>
      <c r="C156" s="13">
        <v>600.88529571351057</v>
      </c>
    </row>
    <row r="157" spans="1:3">
      <c r="A157" s="11" t="s">
        <v>59</v>
      </c>
      <c r="B157" s="11" t="s">
        <v>99</v>
      </c>
      <c r="C157" s="13">
        <v>16114.338147410401</v>
      </c>
    </row>
    <row r="158" spans="1:3">
      <c r="A158" s="11" t="s">
        <v>60</v>
      </c>
      <c r="B158" s="11" t="s">
        <v>99</v>
      </c>
      <c r="C158" s="13">
        <v>11223.445046821094</v>
      </c>
    </row>
    <row r="159" spans="1:3">
      <c r="A159" s="11" t="s">
        <v>61</v>
      </c>
      <c r="B159" s="11" t="s">
        <v>99</v>
      </c>
      <c r="C159" s="13">
        <v>714.74121831925299</v>
      </c>
    </row>
    <row r="160" spans="1:3">
      <c r="A160" s="11" t="s">
        <v>62</v>
      </c>
      <c r="B160" s="11" t="s">
        <v>99</v>
      </c>
      <c r="C160" s="13">
        <v>11477.2</v>
      </c>
    </row>
    <row r="161" spans="1:3">
      <c r="A161" s="11" t="s">
        <v>64</v>
      </c>
      <c r="B161" s="11" t="s">
        <v>99</v>
      </c>
      <c r="C161" s="13">
        <v>2684</v>
      </c>
    </row>
    <row r="162" spans="1:3">
      <c r="A162" s="11" t="s">
        <v>35</v>
      </c>
      <c r="B162" s="11" t="s">
        <v>100</v>
      </c>
      <c r="C162" s="15">
        <v>11225.3</v>
      </c>
    </row>
    <row r="163" spans="1:3">
      <c r="A163" s="11" t="s">
        <v>36</v>
      </c>
      <c r="B163" s="11" t="s">
        <v>100</v>
      </c>
      <c r="C163" s="15">
        <v>85</v>
      </c>
    </row>
    <row r="164" spans="1:3">
      <c r="A164" s="11" t="s">
        <v>37</v>
      </c>
      <c r="B164" s="11" t="s">
        <v>100</v>
      </c>
      <c r="C164" s="15">
        <v>362.3</v>
      </c>
    </row>
    <row r="165" spans="1:3">
      <c r="A165" s="11" t="s">
        <v>38</v>
      </c>
      <c r="B165" s="11" t="s">
        <v>100</v>
      </c>
      <c r="C165" s="15">
        <v>326.26405529953917</v>
      </c>
    </row>
    <row r="166" spans="1:3">
      <c r="A166" s="11" t="s">
        <v>39</v>
      </c>
      <c r="B166" s="11" t="s">
        <v>100</v>
      </c>
      <c r="C166" s="15">
        <v>7127</v>
      </c>
    </row>
    <row r="167" spans="1:3">
      <c r="A167" s="11" t="s">
        <v>40</v>
      </c>
      <c r="B167" s="11" t="s">
        <v>100</v>
      </c>
      <c r="C167" s="15">
        <v>459.47727272727275</v>
      </c>
    </row>
    <row r="168" spans="1:3">
      <c r="A168" s="11" t="s">
        <v>41</v>
      </c>
      <c r="B168" s="11" t="s">
        <v>100</v>
      </c>
      <c r="C168" s="15">
        <v>4151.3590114827766</v>
      </c>
    </row>
    <row r="169" spans="1:3">
      <c r="A169" s="11" t="s">
        <v>42</v>
      </c>
      <c r="B169" s="11" t="s">
        <v>100</v>
      </c>
      <c r="C169" s="15">
        <v>9</v>
      </c>
    </row>
    <row r="170" spans="1:3">
      <c r="A170" s="11" t="s">
        <v>43</v>
      </c>
      <c r="B170" s="11" t="s">
        <v>100</v>
      </c>
      <c r="C170" s="15">
        <v>13</v>
      </c>
    </row>
    <row r="171" spans="1:3">
      <c r="A171" s="11" t="s">
        <v>44</v>
      </c>
      <c r="B171" s="11" t="s">
        <v>100</v>
      </c>
      <c r="C171" s="15">
        <v>9518.0802612304688</v>
      </c>
    </row>
    <row r="172" spans="1:3">
      <c r="A172" s="11" t="s">
        <v>45</v>
      </c>
      <c r="B172" s="11" t="s">
        <v>100</v>
      </c>
      <c r="C172" s="15">
        <v>523</v>
      </c>
    </row>
    <row r="173" spans="1:3">
      <c r="A173" s="11" t="s">
        <v>46</v>
      </c>
      <c r="B173" s="11" t="s">
        <v>100</v>
      </c>
      <c r="C173" s="15">
        <v>15718.688124201259</v>
      </c>
    </row>
    <row r="174" spans="1:3">
      <c r="A174" s="11" t="s">
        <v>47</v>
      </c>
      <c r="B174" s="11" t="s">
        <v>100</v>
      </c>
      <c r="C174" s="15">
        <v>3309.558659217877</v>
      </c>
    </row>
    <row r="175" spans="1:3">
      <c r="A175" s="11" t="s">
        <v>48</v>
      </c>
      <c r="B175" s="11" t="s">
        <v>100</v>
      </c>
      <c r="C175" s="15">
        <v>1575</v>
      </c>
    </row>
    <row r="176" spans="1:3">
      <c r="A176" s="11" t="s">
        <v>49</v>
      </c>
      <c r="B176" s="11" t="s">
        <v>100</v>
      </c>
      <c r="C176" s="15">
        <v>495</v>
      </c>
    </row>
    <row r="177" spans="1:3">
      <c r="A177" s="11" t="s">
        <v>50</v>
      </c>
      <c r="B177" s="11" t="s">
        <v>100</v>
      </c>
      <c r="C177" s="15">
        <v>194</v>
      </c>
    </row>
    <row r="178" spans="1:3">
      <c r="A178" s="11" t="s">
        <v>51</v>
      </c>
      <c r="B178" s="11" t="s">
        <v>100</v>
      </c>
      <c r="C178" s="15">
        <v>32</v>
      </c>
    </row>
    <row r="179" spans="1:3">
      <c r="A179" s="11" t="s">
        <v>52</v>
      </c>
      <c r="B179" s="11" t="s">
        <v>100</v>
      </c>
      <c r="C179" s="15">
        <v>8508.1996579997995</v>
      </c>
    </row>
    <row r="180" spans="1:3">
      <c r="A180" s="11" t="s">
        <v>53</v>
      </c>
      <c r="B180" s="11" t="s">
        <v>100</v>
      </c>
      <c r="C180" s="14">
        <v>150</v>
      </c>
    </row>
    <row r="181" spans="1:3">
      <c r="A181" s="11" t="s">
        <v>54</v>
      </c>
      <c r="B181" s="11" t="s">
        <v>100</v>
      </c>
      <c r="C181" s="15">
        <v>40.3125</v>
      </c>
    </row>
    <row r="182" spans="1:3">
      <c r="A182" s="11" t="s">
        <v>55</v>
      </c>
      <c r="B182" s="11" t="s">
        <v>100</v>
      </c>
      <c r="C182" s="15">
        <v>1676</v>
      </c>
    </row>
    <row r="183" spans="1:3">
      <c r="A183" s="11" t="s">
        <v>57</v>
      </c>
      <c r="B183" s="11" t="s">
        <v>100</v>
      </c>
      <c r="C183" s="15">
        <v>227</v>
      </c>
    </row>
    <row r="184" spans="1:3">
      <c r="A184" s="11" t="s">
        <v>65</v>
      </c>
      <c r="B184" s="11" t="s">
        <v>100</v>
      </c>
      <c r="C184" s="22">
        <v>1950</v>
      </c>
    </row>
    <row r="185" spans="1:3">
      <c r="A185" s="11" t="s">
        <v>66</v>
      </c>
      <c r="B185" s="11" t="s">
        <v>100</v>
      </c>
      <c r="C185" s="22">
        <v>4950</v>
      </c>
    </row>
    <row r="186" spans="1:3">
      <c r="A186" s="11" t="s">
        <v>67</v>
      </c>
      <c r="B186" s="11" t="s">
        <v>100</v>
      </c>
      <c r="C186" s="22">
        <v>2250</v>
      </c>
    </row>
    <row r="187" spans="1:3">
      <c r="A187" s="11" t="s">
        <v>68</v>
      </c>
      <c r="B187" s="11" t="s">
        <v>100</v>
      </c>
      <c r="C187" s="22">
        <v>2700</v>
      </c>
    </row>
    <row r="188" spans="1:3">
      <c r="A188" s="11" t="s">
        <v>69</v>
      </c>
      <c r="B188" s="11" t="s">
        <v>100</v>
      </c>
      <c r="C188" s="22">
        <v>3150</v>
      </c>
    </row>
    <row r="189" spans="1:3">
      <c r="A189" s="11" t="s">
        <v>58</v>
      </c>
      <c r="B189" s="11" t="s">
        <v>100</v>
      </c>
      <c r="C189" s="15">
        <v>1752.0147042864896</v>
      </c>
    </row>
    <row r="190" spans="1:3">
      <c r="A190" s="11" t="s">
        <v>59</v>
      </c>
      <c r="B190" s="11" t="s">
        <v>100</v>
      </c>
      <c r="C190" s="15">
        <v>29427.661852589641</v>
      </c>
    </row>
    <row r="191" spans="1:3">
      <c r="A191" s="11" t="s">
        <v>60</v>
      </c>
      <c r="B191" s="11" t="s">
        <v>100</v>
      </c>
      <c r="C191" s="15">
        <v>6707.5549531789056</v>
      </c>
    </row>
    <row r="192" spans="1:3">
      <c r="A192" s="11" t="s">
        <v>61</v>
      </c>
      <c r="B192" s="11" t="s">
        <v>100</v>
      </c>
      <c r="C192" s="15">
        <v>3530.5</v>
      </c>
    </row>
    <row r="193" spans="1:3">
      <c r="A193" s="11" t="s">
        <v>62</v>
      </c>
      <c r="B193" s="11" t="s">
        <v>100</v>
      </c>
      <c r="C193" s="15">
        <v>6559.0377777777776</v>
      </c>
    </row>
    <row r="194" spans="1:3">
      <c r="A194" s="11" t="s">
        <v>63</v>
      </c>
      <c r="B194" s="11" t="s">
        <v>100</v>
      </c>
      <c r="C194" s="15">
        <v>3574</v>
      </c>
    </row>
    <row r="195" spans="1:3">
      <c r="A195" s="11" t="s">
        <v>36</v>
      </c>
      <c r="B195" s="11" t="s">
        <v>5</v>
      </c>
      <c r="C195" s="17">
        <v>200000</v>
      </c>
    </row>
    <row r="196" spans="1:3">
      <c r="A196" s="11" t="s">
        <v>38</v>
      </c>
      <c r="B196" s="11" t="s">
        <v>5</v>
      </c>
      <c r="C196" s="17">
        <v>200000</v>
      </c>
    </row>
    <row r="197" spans="1:3">
      <c r="A197" s="11" t="s">
        <v>40</v>
      </c>
      <c r="B197" s="11" t="s">
        <v>5</v>
      </c>
      <c r="C197" s="17">
        <v>200000</v>
      </c>
    </row>
    <row r="198" spans="1:3">
      <c r="A198" s="11" t="s">
        <v>41</v>
      </c>
      <c r="B198" s="11" t="s">
        <v>5</v>
      </c>
      <c r="C198" s="17">
        <v>200000</v>
      </c>
    </row>
    <row r="199" spans="1:3">
      <c r="A199" s="11" t="s">
        <v>48</v>
      </c>
      <c r="B199" s="11" t="s">
        <v>5</v>
      </c>
      <c r="C199" s="17">
        <v>200000</v>
      </c>
    </row>
    <row r="200" spans="1:3">
      <c r="A200" s="11" t="s">
        <v>50</v>
      </c>
      <c r="B200" s="11" t="s">
        <v>5</v>
      </c>
      <c r="C200" s="17">
        <v>200000</v>
      </c>
    </row>
    <row r="201" spans="1:3">
      <c r="A201" s="11" t="s">
        <v>51</v>
      </c>
      <c r="B201" s="11" t="s">
        <v>5</v>
      </c>
      <c r="C201" s="17">
        <v>200000</v>
      </c>
    </row>
    <row r="202" spans="1:3">
      <c r="A202" s="11" t="s">
        <v>56</v>
      </c>
      <c r="B202" s="11" t="s">
        <v>5</v>
      </c>
      <c r="C202" s="17">
        <v>200000</v>
      </c>
    </row>
    <row r="203" spans="1:3">
      <c r="A203" s="11" t="s">
        <v>58</v>
      </c>
      <c r="B203" s="11" t="s">
        <v>5</v>
      </c>
      <c r="C203" s="17">
        <v>200000</v>
      </c>
    </row>
    <row r="204" spans="1:3">
      <c r="A204" s="11" t="s">
        <v>60</v>
      </c>
      <c r="B204" s="11" t="s">
        <v>5</v>
      </c>
      <c r="C204" s="17">
        <v>200000</v>
      </c>
    </row>
    <row r="205" spans="1:3">
      <c r="A205" s="11" t="s">
        <v>61</v>
      </c>
      <c r="B205" s="11" t="s">
        <v>5</v>
      </c>
      <c r="C205" s="17">
        <v>200000</v>
      </c>
    </row>
    <row r="206" spans="1:3">
      <c r="A206" s="11" t="s">
        <v>63</v>
      </c>
      <c r="B206" s="11" t="s">
        <v>5</v>
      </c>
      <c r="C206" s="17">
        <v>200000</v>
      </c>
    </row>
    <row r="207" spans="1:3">
      <c r="A207" s="11" t="s">
        <v>64</v>
      </c>
      <c r="B207" s="11" t="s">
        <v>5</v>
      </c>
      <c r="C207" s="17">
        <v>200000</v>
      </c>
    </row>
    <row r="208" spans="1:3">
      <c r="A208" s="11" t="s">
        <v>35</v>
      </c>
      <c r="B208" s="11" t="s">
        <v>101</v>
      </c>
      <c r="C208" s="18">
        <v>200000</v>
      </c>
    </row>
    <row r="209" spans="1:3">
      <c r="A209" s="11" t="s">
        <v>37</v>
      </c>
      <c r="B209" s="11" t="s">
        <v>101</v>
      </c>
      <c r="C209" s="18">
        <v>200000</v>
      </c>
    </row>
    <row r="210" spans="1:3">
      <c r="A210" s="11" t="s">
        <v>38</v>
      </c>
      <c r="B210" s="11" t="s">
        <v>101</v>
      </c>
      <c r="C210" s="18">
        <v>200000</v>
      </c>
    </row>
    <row r="211" spans="1:3">
      <c r="A211" s="11" t="s">
        <v>39</v>
      </c>
      <c r="B211" s="11" t="s">
        <v>101</v>
      </c>
      <c r="C211" s="18">
        <v>200000</v>
      </c>
    </row>
    <row r="212" spans="1:3">
      <c r="A212" s="11" t="s">
        <v>40</v>
      </c>
      <c r="B212" s="11" t="s">
        <v>101</v>
      </c>
      <c r="C212" s="18">
        <v>200000</v>
      </c>
    </row>
    <row r="213" spans="1:3">
      <c r="A213" s="11" t="s">
        <v>41</v>
      </c>
      <c r="B213" s="11" t="s">
        <v>101</v>
      </c>
      <c r="C213" s="18">
        <v>200000</v>
      </c>
    </row>
    <row r="214" spans="1:3">
      <c r="A214" s="11" t="s">
        <v>42</v>
      </c>
      <c r="B214" s="11" t="s">
        <v>101</v>
      </c>
      <c r="C214" s="18">
        <v>200000</v>
      </c>
    </row>
    <row r="215" spans="1:3">
      <c r="A215" s="11" t="s">
        <v>44</v>
      </c>
      <c r="B215" s="11" t="s">
        <v>101</v>
      </c>
      <c r="C215" s="18">
        <v>200000</v>
      </c>
    </row>
    <row r="216" spans="1:3">
      <c r="A216" s="11" t="s">
        <v>45</v>
      </c>
      <c r="B216" s="11" t="s">
        <v>101</v>
      </c>
      <c r="C216" s="18">
        <v>200000</v>
      </c>
    </row>
    <row r="217" spans="1:3">
      <c r="A217" s="11" t="s">
        <v>46</v>
      </c>
      <c r="B217" s="11" t="s">
        <v>101</v>
      </c>
      <c r="C217" s="18">
        <v>200000</v>
      </c>
    </row>
    <row r="218" spans="1:3">
      <c r="A218" s="11" t="s">
        <v>47</v>
      </c>
      <c r="B218" s="11" t="s">
        <v>101</v>
      </c>
      <c r="C218" s="18">
        <v>200000</v>
      </c>
    </row>
    <row r="219" spans="1:3">
      <c r="A219" s="11" t="s">
        <v>49</v>
      </c>
      <c r="B219" s="11" t="s">
        <v>101</v>
      </c>
      <c r="C219" s="18">
        <v>200000</v>
      </c>
    </row>
    <row r="220" spans="1:3">
      <c r="A220" s="11" t="s">
        <v>50</v>
      </c>
      <c r="B220" s="11" t="s">
        <v>101</v>
      </c>
      <c r="C220" s="18">
        <v>200000</v>
      </c>
    </row>
    <row r="221" spans="1:3">
      <c r="A221" s="11" t="s">
        <v>51</v>
      </c>
      <c r="B221" s="11" t="s">
        <v>101</v>
      </c>
      <c r="C221" s="18">
        <v>200000</v>
      </c>
    </row>
    <row r="222" spans="1:3">
      <c r="A222" s="11" t="s">
        <v>53</v>
      </c>
      <c r="B222" s="11" t="s">
        <v>101</v>
      </c>
      <c r="C222" s="18">
        <v>200000</v>
      </c>
    </row>
    <row r="223" spans="1:3">
      <c r="A223" s="11" t="s">
        <v>55</v>
      </c>
      <c r="B223" s="11" t="s">
        <v>101</v>
      </c>
      <c r="C223" s="18">
        <v>200000</v>
      </c>
    </row>
    <row r="224" spans="1:3">
      <c r="A224" s="11" t="s">
        <v>56</v>
      </c>
      <c r="B224" s="11" t="s">
        <v>101</v>
      </c>
      <c r="C224" s="18">
        <v>200000</v>
      </c>
    </row>
    <row r="225" spans="1:6">
      <c r="A225" s="11" t="s">
        <v>59</v>
      </c>
      <c r="B225" s="11" t="s">
        <v>101</v>
      </c>
      <c r="C225" s="18">
        <v>200000</v>
      </c>
    </row>
    <row r="226" spans="1:6">
      <c r="A226" s="11" t="s">
        <v>60</v>
      </c>
      <c r="B226" s="11" t="s">
        <v>101</v>
      </c>
      <c r="C226" s="18">
        <v>200000</v>
      </c>
    </row>
    <row r="227" spans="1:6">
      <c r="A227" s="11" t="s">
        <v>62</v>
      </c>
      <c r="B227" s="11" t="s">
        <v>101</v>
      </c>
      <c r="C227" s="18">
        <v>200000</v>
      </c>
    </row>
    <row r="228" spans="1:6">
      <c r="A228" s="11" t="s">
        <v>63</v>
      </c>
      <c r="B228" s="11" t="s">
        <v>101</v>
      </c>
      <c r="C228" s="18">
        <v>200000</v>
      </c>
    </row>
    <row r="229" spans="1:6">
      <c r="A229" s="11" t="s">
        <v>64</v>
      </c>
      <c r="B229" s="11" t="s">
        <v>101</v>
      </c>
      <c r="C229" s="18">
        <v>200000</v>
      </c>
    </row>
    <row r="230" spans="1:6">
      <c r="A230" s="11" t="s">
        <v>35</v>
      </c>
      <c r="B230" s="11" t="s">
        <v>18</v>
      </c>
      <c r="C230" s="11">
        <v>249296.82672000001</v>
      </c>
      <c r="D230" s="18">
        <f>0.67015276*E230</f>
        <v>249296.82672000001</v>
      </c>
      <c r="E230" s="23">
        <v>372000</v>
      </c>
    </row>
    <row r="231" spans="1:6">
      <c r="A231" s="11" t="s">
        <v>36</v>
      </c>
      <c r="B231" s="11" t="s">
        <v>18</v>
      </c>
      <c r="C231" s="11">
        <v>71458.029297000001</v>
      </c>
      <c r="D231" s="18">
        <f>0.130636251*E231</f>
        <v>71458.029297000001</v>
      </c>
      <c r="E231" s="23">
        <v>547000</v>
      </c>
      <c r="F231" s="5"/>
    </row>
    <row r="232" spans="1:6">
      <c r="A232" s="11" t="s">
        <v>37</v>
      </c>
      <c r="B232" s="11" t="s">
        <v>18</v>
      </c>
      <c r="C232" s="11">
        <v>230107.70263800002</v>
      </c>
      <c r="D232" s="18">
        <f>0.410174158*E232</f>
        <v>230107.70263800002</v>
      </c>
      <c r="E232" s="23">
        <v>561000</v>
      </c>
    </row>
    <row r="233" spans="1:6">
      <c r="A233" s="11" t="s">
        <v>38</v>
      </c>
      <c r="B233" s="11" t="s">
        <v>18</v>
      </c>
      <c r="C233" s="11">
        <v>354539.49365000002</v>
      </c>
      <c r="D233" s="18">
        <f>0.373199467*E233</f>
        <v>354539.49365000002</v>
      </c>
      <c r="E233" s="23">
        <v>950000</v>
      </c>
    </row>
    <row r="234" spans="1:6">
      <c r="A234" s="11" t="s">
        <v>39</v>
      </c>
      <c r="B234" s="11" t="s">
        <v>18</v>
      </c>
      <c r="C234" s="11">
        <v>122703.17327999999</v>
      </c>
      <c r="D234" s="18">
        <f>0.32984724*E234</f>
        <v>122703.17327999999</v>
      </c>
      <c r="E234" s="23">
        <v>372000</v>
      </c>
    </row>
    <row r="235" spans="1:6">
      <c r="A235" s="11" t="s">
        <v>40</v>
      </c>
      <c r="B235" s="11" t="s">
        <v>18</v>
      </c>
      <c r="C235" s="11">
        <v>124057.167003</v>
      </c>
      <c r="D235" s="18">
        <f>0.179014671*E235</f>
        <v>124057.167003</v>
      </c>
      <c r="E235" s="23">
        <v>693000</v>
      </c>
    </row>
    <row r="236" spans="1:6">
      <c r="A236" s="11" t="s">
        <v>41</v>
      </c>
      <c r="B236" s="11" t="s">
        <v>18</v>
      </c>
      <c r="C236" s="11">
        <v>1373000</v>
      </c>
      <c r="D236" s="18">
        <f>1*E236</f>
        <v>1373000</v>
      </c>
      <c r="E236" s="23">
        <v>1373000</v>
      </c>
    </row>
    <row r="237" spans="1:6">
      <c r="A237" s="11" t="s">
        <v>42</v>
      </c>
      <c r="B237" s="11" t="s">
        <v>18</v>
      </c>
      <c r="C237" s="11">
        <v>115971.606868</v>
      </c>
      <c r="D237" s="18">
        <f>E237+0.035281356*E262</f>
        <v>115971.606868</v>
      </c>
      <c r="E237" s="23">
        <v>70000</v>
      </c>
    </row>
    <row r="238" spans="1:6">
      <c r="A238" s="11" t="s">
        <v>43</v>
      </c>
      <c r="B238" s="11" t="s">
        <v>18</v>
      </c>
      <c r="C238" s="11">
        <v>28978.730479999998</v>
      </c>
      <c r="D238" s="18">
        <f>0.258738665*E238</f>
        <v>28978.730479999998</v>
      </c>
      <c r="E238" s="23">
        <v>112000</v>
      </c>
    </row>
    <row r="239" spans="1:6">
      <c r="A239" s="11" t="s">
        <v>44</v>
      </c>
      <c r="B239" s="11" t="s">
        <v>18</v>
      </c>
      <c r="C239" s="11">
        <v>2382763.396617</v>
      </c>
      <c r="D239" s="18">
        <f>0.845851401*E239</f>
        <v>2382763.396617</v>
      </c>
      <c r="E239" s="23">
        <v>2817000</v>
      </c>
    </row>
    <row r="240" spans="1:6">
      <c r="A240" s="11" t="s">
        <v>45</v>
      </c>
      <c r="B240" s="11" t="s">
        <v>18</v>
      </c>
      <c r="C240" s="11">
        <v>362393.27741699998</v>
      </c>
      <c r="D240" s="18">
        <f>0.278122239*E240</f>
        <v>362393.27741699998</v>
      </c>
      <c r="E240" s="23">
        <v>1303000</v>
      </c>
    </row>
    <row r="241" spans="1:5">
      <c r="A241" s="11" t="s">
        <v>46</v>
      </c>
      <c r="B241" s="11" t="s">
        <v>18</v>
      </c>
      <c r="C241" s="11">
        <v>1128000</v>
      </c>
      <c r="D241" s="18">
        <f>1*E241</f>
        <v>1128000</v>
      </c>
      <c r="E241" s="23">
        <v>1128000</v>
      </c>
    </row>
    <row r="242" spans="1:5">
      <c r="A242" s="11" t="s">
        <v>47</v>
      </c>
      <c r="B242" s="11" t="s">
        <v>18</v>
      </c>
      <c r="C242" s="11">
        <v>1090395.2394299998</v>
      </c>
      <c r="D242" s="18">
        <f>0.741765469*E242</f>
        <v>1090395.2394299998</v>
      </c>
      <c r="E242" s="23">
        <v>1470000</v>
      </c>
    </row>
    <row r="243" spans="1:5">
      <c r="A243" s="11" t="s">
        <v>48</v>
      </c>
      <c r="B243" s="11" t="s">
        <v>18</v>
      </c>
      <c r="C243" s="11">
        <v>421499.97289999999</v>
      </c>
      <c r="D243" s="18">
        <f>0.443684182*E243</f>
        <v>421499.97289999999</v>
      </c>
      <c r="E243" s="23">
        <v>950000</v>
      </c>
    </row>
    <row r="244" spans="1:5">
      <c r="A244" s="11" t="s">
        <v>49</v>
      </c>
      <c r="B244" s="11" t="s">
        <v>18</v>
      </c>
      <c r="C244" s="11">
        <v>68287.883740000005</v>
      </c>
      <c r="D244" s="18">
        <f>0.333111628*E244</f>
        <v>68287.883740000005</v>
      </c>
      <c r="E244" s="23">
        <v>205000</v>
      </c>
    </row>
    <row r="245" spans="1:5">
      <c r="A245" s="11" t="s">
        <v>50</v>
      </c>
      <c r="B245" s="11" t="s">
        <v>18</v>
      </c>
      <c r="C245" s="11">
        <v>112252.56770500001</v>
      </c>
      <c r="D245" s="18">
        <f>0.547573501*E245</f>
        <v>112252.56770500001</v>
      </c>
      <c r="E245" s="23">
        <v>205000</v>
      </c>
    </row>
    <row r="246" spans="1:5">
      <c r="A246" s="11" t="s">
        <v>51</v>
      </c>
      <c r="B246" s="11" t="s">
        <v>18</v>
      </c>
      <c r="C246" s="11">
        <v>379604.76056999998</v>
      </c>
      <c r="D246" s="18">
        <f>0.258234531*E246</f>
        <v>379604.76056999998</v>
      </c>
      <c r="E246" s="23">
        <v>1470000</v>
      </c>
    </row>
    <row r="247" spans="1:5">
      <c r="A247" s="11" t="s">
        <v>52</v>
      </c>
      <c r="B247" s="11" t="s">
        <v>18</v>
      </c>
      <c r="C247" s="11">
        <v>625000</v>
      </c>
      <c r="D247" s="18">
        <f>1*E247</f>
        <v>625000</v>
      </c>
      <c r="E247" s="23">
        <v>625000</v>
      </c>
    </row>
    <row r="248" spans="1:5">
      <c r="A248" s="11" t="s">
        <v>53</v>
      </c>
      <c r="B248" s="11" t="s">
        <v>18</v>
      </c>
      <c r="C248" s="11">
        <v>41737.860080000006</v>
      </c>
      <c r="D248" s="18">
        <f>0.372659465*E248</f>
        <v>41737.860080000006</v>
      </c>
      <c r="E248" s="23">
        <v>112000</v>
      </c>
    </row>
    <row r="249" spans="1:5">
      <c r="A249" s="11" t="s">
        <v>54</v>
      </c>
      <c r="B249" s="11" t="s">
        <v>18</v>
      </c>
      <c r="C249" s="11">
        <v>19390.593057000002</v>
      </c>
      <c r="D249" s="18">
        <f>0.034564337*E249</f>
        <v>19390.593057000002</v>
      </c>
      <c r="E249" s="23">
        <v>561000</v>
      </c>
    </row>
    <row r="250" spans="1:5">
      <c r="A250" s="11" t="s">
        <v>55</v>
      </c>
      <c r="B250" s="11" t="s">
        <v>18</v>
      </c>
      <c r="C250" s="11">
        <v>41283.409552000005</v>
      </c>
      <c r="D250" s="18">
        <f>0.368601871*E250</f>
        <v>41283.409552000005</v>
      </c>
      <c r="E250" s="23">
        <v>112000</v>
      </c>
    </row>
    <row r="251" spans="1:5">
      <c r="A251" s="11" t="s">
        <v>56</v>
      </c>
      <c r="B251" s="11" t="s">
        <v>18</v>
      </c>
      <c r="C251" s="11">
        <v>82133.034700000004</v>
      </c>
      <c r="D251" s="18">
        <f>0.086455826*E251</f>
        <v>82133.034700000004</v>
      </c>
      <c r="E251" s="23">
        <v>950000</v>
      </c>
    </row>
    <row r="252" spans="1:5">
      <c r="A252" s="11" t="s">
        <v>57</v>
      </c>
      <c r="B252" s="11" t="s">
        <v>18</v>
      </c>
      <c r="C252" s="11">
        <v>311501.70430500002</v>
      </c>
      <c r="D252" s="18">
        <f>0.555261505*E252</f>
        <v>311501.70430500002</v>
      </c>
      <c r="E252" s="23">
        <v>561000</v>
      </c>
    </row>
    <row r="253" spans="1:5">
      <c r="A253" s="11" t="s">
        <v>65</v>
      </c>
      <c r="B253" s="11" t="s">
        <v>18</v>
      </c>
      <c r="C253" s="11">
        <v>53621.131013710001</v>
      </c>
      <c r="D253" s="18">
        <f>0.316554289*E253</f>
        <v>53621.131013710001</v>
      </c>
      <c r="E253" s="23">
        <v>169390</v>
      </c>
    </row>
    <row r="254" spans="1:5">
      <c r="A254" s="11" t="s">
        <v>66</v>
      </c>
      <c r="B254" s="11" t="s">
        <v>18</v>
      </c>
      <c r="C254" s="11">
        <v>136115.17872711</v>
      </c>
      <c r="D254" s="18">
        <f t="shared" ref="D254:D257" si="0">0.316554289*E254</f>
        <v>136115.17872711</v>
      </c>
      <c r="E254" s="23">
        <v>429990</v>
      </c>
    </row>
    <row r="255" spans="1:5">
      <c r="A255" s="11" t="s">
        <v>67</v>
      </c>
      <c r="B255" s="11" t="s">
        <v>18</v>
      </c>
      <c r="C255" s="11">
        <v>61870.53578505</v>
      </c>
      <c r="D255" s="18">
        <f t="shared" si="0"/>
        <v>61870.53578505</v>
      </c>
      <c r="E255" s="23">
        <v>195450</v>
      </c>
    </row>
    <row r="256" spans="1:5">
      <c r="A256" s="11" t="s">
        <v>68</v>
      </c>
      <c r="B256" s="11" t="s">
        <v>18</v>
      </c>
      <c r="C256" s="11">
        <v>74244.642942060003</v>
      </c>
      <c r="D256" s="18">
        <f t="shared" si="0"/>
        <v>74244.642942060003</v>
      </c>
      <c r="E256" s="23">
        <v>234540</v>
      </c>
    </row>
    <row r="257" spans="1:5">
      <c r="A257" s="11" t="s">
        <v>69</v>
      </c>
      <c r="B257" s="11" t="s">
        <v>18</v>
      </c>
      <c r="C257" s="11">
        <v>86618.750099069992</v>
      </c>
      <c r="D257" s="18">
        <f t="shared" si="0"/>
        <v>86618.750099069992</v>
      </c>
      <c r="E257" s="23">
        <v>273630</v>
      </c>
    </row>
    <row r="258" spans="1:5">
      <c r="A258" s="11" t="s">
        <v>58</v>
      </c>
      <c r="B258" s="11" t="s">
        <v>18</v>
      </c>
      <c r="C258" s="11">
        <v>491816.65024800005</v>
      </c>
      <c r="D258" s="18">
        <f>0.709692136*E258</f>
        <v>491816.65024800005</v>
      </c>
      <c r="E258" s="23">
        <v>693000</v>
      </c>
    </row>
    <row r="259" spans="1:5">
      <c r="A259" s="11" t="s">
        <v>59</v>
      </c>
      <c r="B259" s="11" t="s">
        <v>18</v>
      </c>
      <c r="C259" s="11">
        <v>434236.60338300001</v>
      </c>
      <c r="D259" s="18">
        <f>0.154148599*E259</f>
        <v>434236.60338300001</v>
      </c>
      <c r="E259" s="23">
        <v>2817000</v>
      </c>
    </row>
    <row r="260" spans="1:5">
      <c r="A260" s="11" t="s">
        <v>60</v>
      </c>
      <c r="B260" s="11" t="s">
        <v>18</v>
      </c>
      <c r="C260" s="11">
        <v>332741.759051</v>
      </c>
      <c r="D260" s="18">
        <f>0.608303033*E260</f>
        <v>332741.759051</v>
      </c>
      <c r="E260" s="23">
        <v>547000</v>
      </c>
    </row>
    <row r="261" spans="1:5">
      <c r="A261" s="11" t="s">
        <v>61</v>
      </c>
      <c r="B261" s="11" t="s">
        <v>18</v>
      </c>
      <c r="C261" s="11">
        <v>123522.162107</v>
      </c>
      <c r="D261" s="18">
        <f>0.225817481*E261</f>
        <v>123522.162107</v>
      </c>
      <c r="E261" s="23">
        <v>547000</v>
      </c>
    </row>
    <row r="262" spans="1:5">
      <c r="A262" s="11" t="s">
        <v>62</v>
      </c>
      <c r="B262" s="11" t="s">
        <v>18</v>
      </c>
      <c r="C262" s="11">
        <v>482164.87714799994</v>
      </c>
      <c r="D262" s="18">
        <f>0.370042116*E262</f>
        <v>482164.87714799994</v>
      </c>
      <c r="E262" s="23">
        <v>1303000</v>
      </c>
    </row>
    <row r="263" spans="1:5">
      <c r="A263" s="11" t="s">
        <v>63</v>
      </c>
      <c r="B263" s="11" t="s">
        <v>18</v>
      </c>
      <c r="C263" s="11">
        <v>24459.548555000001</v>
      </c>
      <c r="D263" s="18">
        <f>0.119314871*E263</f>
        <v>24459.548555000001</v>
      </c>
      <c r="E263" s="23">
        <v>205000</v>
      </c>
    </row>
    <row r="264" spans="1:5">
      <c r="A264" s="11" t="s">
        <v>64</v>
      </c>
      <c r="B264" s="11" t="s">
        <v>18</v>
      </c>
      <c r="C264" s="11">
        <v>77126.182749</v>
      </c>
      <c r="D264" s="18">
        <f>0.111293193*E264</f>
        <v>77126.182749</v>
      </c>
      <c r="E264" s="23">
        <v>693000</v>
      </c>
    </row>
    <row r="265" spans="1:5">
      <c r="A265" s="11" t="s">
        <v>37</v>
      </c>
      <c r="B265" s="11" t="s">
        <v>130</v>
      </c>
      <c r="C265" s="20">
        <v>0</v>
      </c>
    </row>
    <row r="266" spans="1:5">
      <c r="A266" s="11" t="s">
        <v>41</v>
      </c>
      <c r="B266" s="11" t="s">
        <v>130</v>
      </c>
      <c r="C266" s="20">
        <f>(45.77+6.98+15.22+30.2+29.39+88.69+42.95+37.32+32.25+4.42+26.32+17.2)*6</f>
        <v>2260.2599999999998</v>
      </c>
    </row>
    <row r="267" spans="1:5">
      <c r="A267" s="11" t="s">
        <v>42</v>
      </c>
      <c r="B267" s="11" t="s">
        <v>130</v>
      </c>
      <c r="C267" s="20">
        <f>(57.22+113.41+52.24+6.95+115.94+13.75+101.09+65.61+32.17+91.87+33.9+25.93+76.79+178.82+182.53+62.75+43.3+17.62+0.36+0.06+118.68+414.61+124.83)*6</f>
        <v>11582.579999999996</v>
      </c>
      <c r="E267" s="11" t="s">
        <v>131</v>
      </c>
    </row>
    <row r="268" spans="1:5">
      <c r="A268" s="11" t="s">
        <v>43</v>
      </c>
      <c r="B268" s="11" t="s">
        <v>130</v>
      </c>
      <c r="C268" s="20">
        <v>1500</v>
      </c>
    </row>
    <row r="269" spans="1:5">
      <c r="A269" s="11" t="s">
        <v>44</v>
      </c>
      <c r="B269" s="11" t="s">
        <v>130</v>
      </c>
      <c r="C269" s="20">
        <v>13000</v>
      </c>
    </row>
    <row r="270" spans="1:5">
      <c r="A270" s="11" t="s">
        <v>45</v>
      </c>
      <c r="B270" s="11" t="s">
        <v>130</v>
      </c>
      <c r="C270" s="20">
        <v>15500</v>
      </c>
    </row>
    <row r="271" spans="1:5">
      <c r="A271" s="11" t="s">
        <v>46</v>
      </c>
      <c r="B271" s="11" t="s">
        <v>130</v>
      </c>
      <c r="C271" s="20">
        <f>40500+17400</f>
        <v>57900</v>
      </c>
    </row>
    <row r="272" spans="1:5">
      <c r="A272" s="11" t="s">
        <v>47</v>
      </c>
      <c r="B272" s="11" t="s">
        <v>130</v>
      </c>
      <c r="C272" s="20">
        <v>0</v>
      </c>
    </row>
    <row r="273" spans="1:3">
      <c r="A273" s="11" t="s">
        <v>48</v>
      </c>
      <c r="B273" s="11" t="s">
        <v>130</v>
      </c>
      <c r="C273" s="20">
        <f>30600/2</f>
        <v>15300</v>
      </c>
    </row>
    <row r="274" spans="1:3">
      <c r="A274" s="11" t="s">
        <v>51</v>
      </c>
      <c r="B274" s="11" t="s">
        <v>130</v>
      </c>
      <c r="C274" s="20">
        <v>22200</v>
      </c>
    </row>
    <row r="275" spans="1:3">
      <c r="A275" s="11" t="s">
        <v>52</v>
      </c>
      <c r="B275" s="11" t="s">
        <v>130</v>
      </c>
      <c r="C275" s="20">
        <f>30600/2</f>
        <v>15300</v>
      </c>
    </row>
    <row r="276" spans="1:3">
      <c r="A276" s="11" t="s">
        <v>55</v>
      </c>
      <c r="B276" s="11" t="s">
        <v>130</v>
      </c>
      <c r="C276" s="20">
        <v>2900</v>
      </c>
    </row>
    <row r="277" spans="1:3">
      <c r="A277" s="11" t="s">
        <v>57</v>
      </c>
      <c r="B277" s="11" t="s">
        <v>130</v>
      </c>
      <c r="C277" s="20">
        <v>0</v>
      </c>
    </row>
    <row r="278" spans="1:3">
      <c r="A278" s="11" t="s">
        <v>65</v>
      </c>
      <c r="B278" s="11" t="s">
        <v>130</v>
      </c>
      <c r="C278" s="20">
        <v>0</v>
      </c>
    </row>
    <row r="279" spans="1:3">
      <c r="A279" s="11" t="s">
        <v>66</v>
      </c>
      <c r="B279" s="11" t="s">
        <v>130</v>
      </c>
      <c r="C279" s="20">
        <v>0</v>
      </c>
    </row>
    <row r="280" spans="1:3">
      <c r="A280" s="11" t="s">
        <v>67</v>
      </c>
      <c r="B280" s="11" t="s">
        <v>130</v>
      </c>
      <c r="C280" s="20">
        <v>0</v>
      </c>
    </row>
    <row r="281" spans="1:3">
      <c r="A281" s="11" t="s">
        <v>68</v>
      </c>
      <c r="B281" s="11" t="s">
        <v>130</v>
      </c>
      <c r="C281" s="20">
        <v>0</v>
      </c>
    </row>
    <row r="282" spans="1:3">
      <c r="A282" s="11" t="s">
        <v>69</v>
      </c>
      <c r="B282" s="11" t="s">
        <v>130</v>
      </c>
      <c r="C282" s="20">
        <v>0</v>
      </c>
    </row>
    <row r="283" spans="1:3">
      <c r="A283" s="11" t="s">
        <v>59</v>
      </c>
      <c r="B283" s="11" t="s">
        <v>130</v>
      </c>
      <c r="C283" s="20">
        <v>9000</v>
      </c>
    </row>
    <row r="284" spans="1:3">
      <c r="A284" s="11" t="s">
        <v>53</v>
      </c>
      <c r="B284" s="11" t="s">
        <v>130</v>
      </c>
      <c r="C284" s="20">
        <v>3600</v>
      </c>
    </row>
    <row r="285" spans="1:3">
      <c r="A285" s="11" t="s">
        <v>58</v>
      </c>
      <c r="B285" s="11" t="s">
        <v>130</v>
      </c>
      <c r="C285" s="20">
        <v>27900</v>
      </c>
    </row>
    <row r="286" spans="1:3">
      <c r="A286" s="11" t="s">
        <v>62</v>
      </c>
      <c r="B286" s="11" t="s">
        <v>130</v>
      </c>
      <c r="C286" s="20">
        <v>19800</v>
      </c>
    </row>
    <row r="287" spans="1:3">
      <c r="A287" s="11" t="s">
        <v>35</v>
      </c>
      <c r="B287" s="11" t="s">
        <v>102</v>
      </c>
      <c r="C287" s="39">
        <v>11000</v>
      </c>
    </row>
    <row r="288" spans="1:3">
      <c r="A288" s="11" t="s">
        <v>36</v>
      </c>
      <c r="B288" s="11" t="s">
        <v>102</v>
      </c>
      <c r="C288" s="24">
        <v>17850</v>
      </c>
    </row>
    <row r="289" spans="1:3">
      <c r="A289" s="11" t="s">
        <v>37</v>
      </c>
      <c r="B289" s="11" t="s">
        <v>102</v>
      </c>
      <c r="C289" s="39">
        <v>8000</v>
      </c>
    </row>
    <row r="290" spans="1:3">
      <c r="A290" s="11" t="s">
        <v>38</v>
      </c>
      <c r="B290" s="11" t="s">
        <v>102</v>
      </c>
      <c r="C290" s="39">
        <v>53000</v>
      </c>
    </row>
    <row r="291" spans="1:3">
      <c r="A291" s="11" t="s">
        <v>39</v>
      </c>
      <c r="B291" s="11" t="s">
        <v>102</v>
      </c>
      <c r="C291" s="19">
        <v>2000</v>
      </c>
    </row>
    <row r="292" spans="1:3">
      <c r="A292" s="11" t="s">
        <v>40</v>
      </c>
      <c r="B292" s="11" t="s">
        <v>102</v>
      </c>
      <c r="C292" s="39">
        <v>76000</v>
      </c>
    </row>
    <row r="293" spans="1:3">
      <c r="A293" s="11" t="s">
        <v>41</v>
      </c>
      <c r="B293" s="11" t="s">
        <v>102</v>
      </c>
      <c r="C293" s="40">
        <v>107000</v>
      </c>
    </row>
    <row r="294" spans="1:3">
      <c r="A294" s="11" t="s">
        <v>42</v>
      </c>
      <c r="B294" s="11" t="s">
        <v>102</v>
      </c>
      <c r="C294" s="39">
        <v>55000</v>
      </c>
    </row>
    <row r="295" spans="1:3">
      <c r="A295" s="11" t="s">
        <v>43</v>
      </c>
      <c r="B295" s="11" t="s">
        <v>102</v>
      </c>
      <c r="C295" s="39">
        <v>27000</v>
      </c>
    </row>
    <row r="296" spans="1:3">
      <c r="A296" s="11" t="s">
        <v>44</v>
      </c>
      <c r="B296" s="11" t="s">
        <v>102</v>
      </c>
      <c r="C296" s="39">
        <v>704000</v>
      </c>
    </row>
    <row r="297" spans="1:3">
      <c r="A297" s="11" t="s">
        <v>45</v>
      </c>
      <c r="B297" s="11" t="s">
        <v>102</v>
      </c>
      <c r="C297" s="39">
        <v>31000</v>
      </c>
    </row>
    <row r="298" spans="1:3">
      <c r="A298" s="11" t="s">
        <v>46</v>
      </c>
      <c r="B298" s="11" t="s">
        <v>102</v>
      </c>
      <c r="C298" s="39">
        <v>813000</v>
      </c>
    </row>
    <row r="299" spans="1:3">
      <c r="A299" s="11" t="s">
        <v>47</v>
      </c>
      <c r="B299" s="11" t="s">
        <v>102</v>
      </c>
      <c r="C299" s="39">
        <v>230000</v>
      </c>
    </row>
    <row r="300" spans="1:3">
      <c r="A300" s="11" t="s">
        <v>48</v>
      </c>
      <c r="B300" s="11" t="s">
        <v>102</v>
      </c>
      <c r="C300" s="39">
        <v>168000</v>
      </c>
    </row>
    <row r="301" spans="1:3">
      <c r="A301" s="11" t="s">
        <v>49</v>
      </c>
      <c r="B301" s="11" t="s">
        <v>102</v>
      </c>
      <c r="C301" s="39">
        <v>24000</v>
      </c>
    </row>
    <row r="302" spans="1:3">
      <c r="A302" s="11" t="s">
        <v>50</v>
      </c>
      <c r="B302" s="11" t="s">
        <v>102</v>
      </c>
      <c r="C302" s="39">
        <v>53000</v>
      </c>
    </row>
    <row r="303" spans="1:3">
      <c r="A303" s="11" t="s">
        <v>51</v>
      </c>
      <c r="B303" s="11" t="s">
        <v>102</v>
      </c>
      <c r="C303" s="39">
        <v>147000</v>
      </c>
    </row>
    <row r="304" spans="1:3">
      <c r="A304" s="11" t="s">
        <v>52</v>
      </c>
      <c r="B304" s="11" t="s">
        <v>102</v>
      </c>
      <c r="C304" s="39">
        <v>178000</v>
      </c>
    </row>
    <row r="305" spans="1:3">
      <c r="A305" s="11" t="s">
        <v>53</v>
      </c>
      <c r="B305" s="11" t="s">
        <v>102</v>
      </c>
      <c r="C305" s="39">
        <v>128000</v>
      </c>
    </row>
    <row r="306" spans="1:3">
      <c r="A306" s="11" t="s">
        <v>54</v>
      </c>
      <c r="B306" s="11" t="s">
        <v>102</v>
      </c>
      <c r="C306" s="24">
        <v>700.00000000000011</v>
      </c>
    </row>
    <row r="307" spans="1:3">
      <c r="A307" s="11" t="s">
        <v>55</v>
      </c>
      <c r="B307" s="11" t="s">
        <v>102</v>
      </c>
      <c r="C307" s="39">
        <v>79000</v>
      </c>
    </row>
    <row r="308" spans="1:3">
      <c r="A308" s="11" t="s">
        <v>56</v>
      </c>
      <c r="B308" s="11" t="s">
        <v>102</v>
      </c>
      <c r="C308" s="24">
        <v>8750</v>
      </c>
    </row>
    <row r="309" spans="1:3">
      <c r="A309" s="11" t="s">
        <v>57</v>
      </c>
      <c r="B309" s="11" t="s">
        <v>102</v>
      </c>
      <c r="C309" s="39">
        <v>49000</v>
      </c>
    </row>
    <row r="310" spans="1:3">
      <c r="A310" s="11" t="s">
        <v>65</v>
      </c>
      <c r="B310" s="11" t="s">
        <v>102</v>
      </c>
      <c r="C310" s="19">
        <v>3640</v>
      </c>
    </row>
    <row r="311" spans="1:3">
      <c r="A311" s="11" t="s">
        <v>66</v>
      </c>
      <c r="B311" s="11" t="s">
        <v>102</v>
      </c>
      <c r="C311" s="19">
        <v>9240</v>
      </c>
    </row>
    <row r="312" spans="1:3">
      <c r="A312" s="11" t="s">
        <v>67</v>
      </c>
      <c r="B312" s="11" t="s">
        <v>102</v>
      </c>
      <c r="C312" s="19">
        <v>4200</v>
      </c>
    </row>
    <row r="313" spans="1:3">
      <c r="A313" s="11" t="s">
        <v>68</v>
      </c>
      <c r="B313" s="11" t="s">
        <v>102</v>
      </c>
      <c r="C313" s="19">
        <v>5040</v>
      </c>
    </row>
    <row r="314" spans="1:3">
      <c r="A314" s="11" t="s">
        <v>69</v>
      </c>
      <c r="B314" s="11" t="s">
        <v>102</v>
      </c>
      <c r="C314" s="19">
        <v>5880</v>
      </c>
    </row>
    <row r="315" spans="1:3">
      <c r="A315" s="11" t="s">
        <v>58</v>
      </c>
      <c r="B315" s="11" t="s">
        <v>102</v>
      </c>
      <c r="C315" s="39">
        <v>102000</v>
      </c>
    </row>
    <row r="316" spans="1:3">
      <c r="A316" s="11" t="s">
        <v>59</v>
      </c>
      <c r="B316" s="11" t="s">
        <v>102</v>
      </c>
      <c r="C316" s="39">
        <v>39000</v>
      </c>
    </row>
    <row r="317" spans="1:3">
      <c r="A317" s="11" t="s">
        <v>60</v>
      </c>
      <c r="B317" s="11" t="s">
        <v>102</v>
      </c>
      <c r="C317" s="39">
        <v>169000</v>
      </c>
    </row>
    <row r="318" spans="1:3">
      <c r="A318" s="11" t="s">
        <v>61</v>
      </c>
      <c r="B318" s="11" t="s">
        <v>102</v>
      </c>
      <c r="C318" s="24">
        <v>26950.000000000004</v>
      </c>
    </row>
    <row r="319" spans="1:3">
      <c r="A319" s="11" t="s">
        <v>62</v>
      </c>
      <c r="B319" s="11" t="s">
        <v>102</v>
      </c>
      <c r="C319" s="39">
        <v>134000</v>
      </c>
    </row>
    <row r="320" spans="1:3">
      <c r="A320" s="11" t="s">
        <v>63</v>
      </c>
      <c r="B320" s="11" t="s">
        <v>102</v>
      </c>
      <c r="C320" s="39">
        <v>2000</v>
      </c>
    </row>
    <row r="321" spans="1:3">
      <c r="A321" s="11" t="s">
        <v>64</v>
      </c>
      <c r="B321" s="11" t="s">
        <v>102</v>
      </c>
      <c r="C321" s="39">
        <v>29000</v>
      </c>
    </row>
    <row r="322" spans="1:3">
      <c r="A322" s="11" t="s">
        <v>35</v>
      </c>
      <c r="B322" s="11" t="s">
        <v>19</v>
      </c>
      <c r="C322" s="36">
        <v>23.1</v>
      </c>
    </row>
    <row r="323" spans="1:3">
      <c r="A323" s="11" t="s">
        <v>36</v>
      </c>
      <c r="B323" s="11" t="s">
        <v>19</v>
      </c>
      <c r="C323" s="36">
        <v>0</v>
      </c>
    </row>
    <row r="324" spans="1:3">
      <c r="A324" s="11" t="s">
        <v>37</v>
      </c>
      <c r="B324" s="11" t="s">
        <v>19</v>
      </c>
      <c r="C324" s="36">
        <v>317.10000000000002</v>
      </c>
    </row>
    <row r="325" spans="1:3">
      <c r="A325" s="11" t="s">
        <v>38</v>
      </c>
      <c r="B325" s="11" t="s">
        <v>19</v>
      </c>
      <c r="C325" s="36">
        <v>0</v>
      </c>
    </row>
    <row r="326" spans="1:3">
      <c r="A326" s="11" t="s">
        <v>39</v>
      </c>
      <c r="B326" s="11" t="s">
        <v>19</v>
      </c>
      <c r="C326" s="36">
        <v>443.1</v>
      </c>
    </row>
    <row r="327" spans="1:3">
      <c r="A327" s="11" t="s">
        <v>40</v>
      </c>
      <c r="B327" s="11" t="s">
        <v>19</v>
      </c>
      <c r="C327" s="36">
        <v>105</v>
      </c>
    </row>
    <row r="328" spans="1:3">
      <c r="A328" s="11" t="s">
        <v>41</v>
      </c>
      <c r="B328" s="11" t="s">
        <v>19</v>
      </c>
      <c r="C328" s="36">
        <v>1873.2</v>
      </c>
    </row>
    <row r="329" spans="1:3">
      <c r="A329" s="11" t="s">
        <v>42</v>
      </c>
      <c r="B329" s="11" t="s">
        <v>19</v>
      </c>
      <c r="C329" s="36">
        <v>339.15000000000003</v>
      </c>
    </row>
    <row r="330" spans="1:3">
      <c r="A330" s="11" t="s">
        <v>43</v>
      </c>
      <c r="B330" s="11" t="s">
        <v>19</v>
      </c>
      <c r="C330" s="36">
        <v>21</v>
      </c>
    </row>
    <row r="331" spans="1:3">
      <c r="A331" s="11" t="s">
        <v>44</v>
      </c>
      <c r="B331" s="11" t="s">
        <v>19</v>
      </c>
      <c r="C331" s="36">
        <v>714</v>
      </c>
    </row>
    <row r="332" spans="1:3">
      <c r="A332" s="11" t="s">
        <v>45</v>
      </c>
      <c r="B332" s="11" t="s">
        <v>19</v>
      </c>
      <c r="C332" s="36">
        <v>165.9</v>
      </c>
    </row>
    <row r="333" spans="1:3">
      <c r="A333" s="11" t="s">
        <v>46</v>
      </c>
      <c r="B333" s="11" t="s">
        <v>19</v>
      </c>
      <c r="C333" s="36">
        <v>927.15000000000009</v>
      </c>
    </row>
    <row r="334" spans="1:3">
      <c r="A334" s="11" t="s">
        <v>47</v>
      </c>
      <c r="B334" s="11" t="s">
        <v>19</v>
      </c>
      <c r="C334" s="36">
        <v>5.25</v>
      </c>
    </row>
    <row r="335" spans="1:3">
      <c r="A335" s="11" t="s">
        <v>48</v>
      </c>
      <c r="B335" s="11" t="s">
        <v>19</v>
      </c>
      <c r="C335" s="36">
        <v>0</v>
      </c>
    </row>
    <row r="336" spans="1:3">
      <c r="A336" s="11" t="s">
        <v>49</v>
      </c>
      <c r="B336" s="11" t="s">
        <v>19</v>
      </c>
      <c r="C336" s="36">
        <v>6.3000000000000007</v>
      </c>
    </row>
    <row r="337" spans="1:3">
      <c r="A337" s="11" t="s">
        <v>50</v>
      </c>
      <c r="B337" s="11" t="s">
        <v>19</v>
      </c>
      <c r="C337" s="36">
        <v>0</v>
      </c>
    </row>
    <row r="338" spans="1:3">
      <c r="A338" s="11" t="s">
        <v>51</v>
      </c>
      <c r="B338" s="11" t="s">
        <v>19</v>
      </c>
      <c r="C338" s="36">
        <v>84</v>
      </c>
    </row>
    <row r="339" spans="1:3">
      <c r="A339" s="11" t="s">
        <v>52</v>
      </c>
      <c r="B339" s="11" t="s">
        <v>19</v>
      </c>
      <c r="C339" s="36">
        <v>445.20000000000005</v>
      </c>
    </row>
    <row r="340" spans="1:3">
      <c r="A340" s="11" t="s">
        <v>53</v>
      </c>
      <c r="B340" s="11" t="s">
        <v>19</v>
      </c>
      <c r="C340" s="36">
        <v>21</v>
      </c>
    </row>
    <row r="341" spans="1:3">
      <c r="A341" s="11" t="s">
        <v>54</v>
      </c>
      <c r="B341" s="11" t="s">
        <v>19</v>
      </c>
      <c r="C341" s="36">
        <v>22.05</v>
      </c>
    </row>
    <row r="342" spans="1:3">
      <c r="A342" s="11" t="s">
        <v>55</v>
      </c>
      <c r="B342" s="11" t="s">
        <v>19</v>
      </c>
      <c r="C342" s="36">
        <v>0</v>
      </c>
    </row>
    <row r="343" spans="1:3">
      <c r="A343" s="11" t="s">
        <v>56</v>
      </c>
      <c r="B343" s="11" t="s">
        <v>19</v>
      </c>
      <c r="C343" s="36">
        <v>0</v>
      </c>
    </row>
    <row r="344" spans="1:3">
      <c r="A344" s="11" t="s">
        <v>57</v>
      </c>
      <c r="B344" s="11" t="s">
        <v>19</v>
      </c>
      <c r="C344" s="36">
        <v>795.9</v>
      </c>
    </row>
    <row r="345" spans="1:3">
      <c r="A345" s="11" t="s">
        <v>65</v>
      </c>
      <c r="B345" s="11" t="s">
        <v>19</v>
      </c>
      <c r="C345" s="36">
        <v>0</v>
      </c>
    </row>
    <row r="346" spans="1:3">
      <c r="A346" s="11" t="s">
        <v>66</v>
      </c>
      <c r="B346" s="11" t="s">
        <v>19</v>
      </c>
      <c r="C346" s="36">
        <v>0</v>
      </c>
    </row>
    <row r="347" spans="1:3">
      <c r="A347" s="11" t="s">
        <v>67</v>
      </c>
      <c r="B347" s="11" t="s">
        <v>19</v>
      </c>
      <c r="C347" s="36">
        <v>0</v>
      </c>
    </row>
    <row r="348" spans="1:3">
      <c r="A348" s="11" t="s">
        <v>68</v>
      </c>
      <c r="B348" s="11" t="s">
        <v>19</v>
      </c>
      <c r="C348" s="36">
        <v>0</v>
      </c>
    </row>
    <row r="349" spans="1:3">
      <c r="A349" s="11" t="s">
        <v>69</v>
      </c>
      <c r="B349" s="11" t="s">
        <v>19</v>
      </c>
      <c r="C349" s="36">
        <v>0</v>
      </c>
    </row>
    <row r="350" spans="1:3">
      <c r="A350" s="11" t="s">
        <v>58</v>
      </c>
      <c r="B350" s="11" t="s">
        <v>19</v>
      </c>
      <c r="C350" s="36">
        <v>59.85</v>
      </c>
    </row>
    <row r="351" spans="1:3">
      <c r="A351" s="11" t="s">
        <v>59</v>
      </c>
      <c r="B351" s="11" t="s">
        <v>19</v>
      </c>
      <c r="C351" s="36">
        <v>0</v>
      </c>
    </row>
    <row r="352" spans="1:3">
      <c r="A352" s="11" t="s">
        <v>60</v>
      </c>
      <c r="B352" s="11" t="s">
        <v>19</v>
      </c>
      <c r="C352" s="36">
        <v>0</v>
      </c>
    </row>
    <row r="353" spans="1:3">
      <c r="A353" s="11" t="s">
        <v>61</v>
      </c>
      <c r="B353" s="11" t="s">
        <v>19</v>
      </c>
      <c r="C353" s="36">
        <v>0</v>
      </c>
    </row>
    <row r="354" spans="1:3">
      <c r="A354" s="11" t="s">
        <v>62</v>
      </c>
      <c r="B354" s="11" t="s">
        <v>19</v>
      </c>
      <c r="C354" s="36">
        <v>467.25</v>
      </c>
    </row>
    <row r="355" spans="1:3">
      <c r="A355" s="11" t="s">
        <v>63</v>
      </c>
      <c r="B355" s="11" t="s">
        <v>19</v>
      </c>
      <c r="C355" s="36">
        <v>8.4</v>
      </c>
    </row>
    <row r="356" spans="1:3">
      <c r="A356" s="11" t="s">
        <v>64</v>
      </c>
      <c r="B356" s="11" t="s">
        <v>19</v>
      </c>
      <c r="C356" s="36">
        <v>19.95</v>
      </c>
    </row>
    <row r="357" spans="1:3">
      <c r="A357" s="11" t="s">
        <v>43</v>
      </c>
      <c r="B357" s="11" t="s">
        <v>101</v>
      </c>
      <c r="C357" s="11">
        <v>200000</v>
      </c>
    </row>
    <row r="358" spans="1:3">
      <c r="A358" s="11" t="s">
        <v>44</v>
      </c>
      <c r="B358" s="11" t="s">
        <v>5</v>
      </c>
      <c r="C358" s="11">
        <v>200000</v>
      </c>
    </row>
    <row r="359" spans="1:3">
      <c r="A359" s="11" t="s">
        <v>49</v>
      </c>
      <c r="B359" s="11" t="s">
        <v>16</v>
      </c>
      <c r="C359" s="11">
        <v>200000</v>
      </c>
    </row>
    <row r="360" spans="1:3">
      <c r="A360" s="11" t="s">
        <v>53</v>
      </c>
      <c r="B360" s="11" t="s">
        <v>5</v>
      </c>
      <c r="C360" s="11">
        <v>200000</v>
      </c>
    </row>
    <row r="361" spans="1:3">
      <c r="A361" s="11" t="s">
        <v>56</v>
      </c>
      <c r="B361" s="11" t="s">
        <v>100</v>
      </c>
      <c r="C361" s="11">
        <v>200</v>
      </c>
    </row>
    <row r="362" spans="1:3">
      <c r="A362" s="11" t="s">
        <v>56</v>
      </c>
      <c r="B362" s="11" t="s">
        <v>16</v>
      </c>
      <c r="C362" s="11">
        <v>200000</v>
      </c>
    </row>
    <row r="363" spans="1:3">
      <c r="A363" s="11" t="s">
        <v>58</v>
      </c>
      <c r="B363" s="11" t="s">
        <v>101</v>
      </c>
      <c r="C363" s="11">
        <v>200000</v>
      </c>
    </row>
    <row r="364" spans="1:3">
      <c r="A364" s="11" t="s">
        <v>64</v>
      </c>
      <c r="B364" s="11" t="s">
        <v>100</v>
      </c>
      <c r="C364" s="11">
        <v>1500</v>
      </c>
    </row>
    <row r="365" spans="1:3">
      <c r="A365" s="11" t="s">
        <v>65</v>
      </c>
      <c r="B365" s="11" t="s">
        <v>16</v>
      </c>
      <c r="C365" s="18">
        <v>200000</v>
      </c>
    </row>
    <row r="366" spans="1:3">
      <c r="A366" s="11" t="s">
        <v>66</v>
      </c>
      <c r="B366" s="11" t="s">
        <v>16</v>
      </c>
      <c r="C366" s="18">
        <v>200000</v>
      </c>
    </row>
    <row r="367" spans="1:3">
      <c r="A367" s="11" t="s">
        <v>67</v>
      </c>
      <c r="B367" s="11" t="s">
        <v>16</v>
      </c>
      <c r="C367" s="18">
        <v>200000</v>
      </c>
    </row>
    <row r="368" spans="1:3">
      <c r="A368" s="11" t="s">
        <v>68</v>
      </c>
      <c r="B368" s="11" t="s">
        <v>16</v>
      </c>
      <c r="C368" s="18">
        <v>200000</v>
      </c>
    </row>
    <row r="369" spans="1:3">
      <c r="A369" s="11" t="s">
        <v>69</v>
      </c>
      <c r="B369" s="11" t="s">
        <v>16</v>
      </c>
      <c r="C369" s="18">
        <v>200000</v>
      </c>
    </row>
    <row r="370" spans="1:3">
      <c r="A370" s="11" t="s">
        <v>116</v>
      </c>
      <c r="B370" s="11" t="s">
        <v>130</v>
      </c>
      <c r="C370" s="37">
        <v>6558</v>
      </c>
    </row>
    <row r="371" spans="1:3">
      <c r="A371" s="11" t="s">
        <v>117</v>
      </c>
      <c r="B371" s="11" t="s">
        <v>130</v>
      </c>
      <c r="C371" s="37">
        <v>12636</v>
      </c>
    </row>
    <row r="372" spans="1:3">
      <c r="A372" s="11" t="s">
        <v>118</v>
      </c>
      <c r="B372" s="11" t="s">
        <v>130</v>
      </c>
      <c r="C372" s="37">
        <v>19512</v>
      </c>
    </row>
    <row r="373" spans="1:3">
      <c r="A373" s="11" t="s">
        <v>119</v>
      </c>
      <c r="B373" s="11" t="s">
        <v>130</v>
      </c>
      <c r="C373" s="37">
        <v>14466</v>
      </c>
    </row>
    <row r="374" spans="1:3">
      <c r="A374" s="11" t="s">
        <v>120</v>
      </c>
      <c r="B374" s="11" t="s">
        <v>130</v>
      </c>
      <c r="C374" s="37">
        <v>7518</v>
      </c>
    </row>
    <row r="375" spans="1:3">
      <c r="A375" s="11" t="s">
        <v>121</v>
      </c>
      <c r="B375" s="11" t="s">
        <v>130</v>
      </c>
      <c r="C375" s="37">
        <v>9756</v>
      </c>
    </row>
    <row r="376" spans="1:3">
      <c r="A376" s="11" t="s">
        <v>122</v>
      </c>
      <c r="B376" s="11" t="s">
        <v>130</v>
      </c>
      <c r="C376" s="37">
        <v>8106</v>
      </c>
    </row>
    <row r="377" spans="1:3">
      <c r="A377" s="11" t="s">
        <v>123</v>
      </c>
      <c r="B377" s="11" t="s">
        <v>130</v>
      </c>
      <c r="C377" s="37">
        <v>5858.3</v>
      </c>
    </row>
    <row r="378" spans="1:3">
      <c r="A378" s="11" t="s">
        <v>124</v>
      </c>
      <c r="B378" s="11" t="s">
        <v>130</v>
      </c>
      <c r="C378" s="37">
        <v>7997</v>
      </c>
    </row>
    <row r="379" spans="1:3">
      <c r="A379" s="11" t="s">
        <v>136</v>
      </c>
      <c r="B379" s="11" t="s">
        <v>130</v>
      </c>
      <c r="C379" s="37">
        <v>27492.75</v>
      </c>
    </row>
    <row r="380" spans="1:3">
      <c r="A380" s="11" t="s">
        <v>133</v>
      </c>
      <c r="B380" s="11" t="s">
        <v>130</v>
      </c>
      <c r="C380" s="37">
        <v>24132</v>
      </c>
    </row>
    <row r="381" spans="1:3">
      <c r="A381" s="11" t="s">
        <v>125</v>
      </c>
      <c r="B381" s="11" t="s">
        <v>130</v>
      </c>
      <c r="C381" s="37">
        <v>0</v>
      </c>
    </row>
    <row r="382" spans="1:3">
      <c r="A382" s="11" t="s">
        <v>134</v>
      </c>
      <c r="B382" s="11" t="s">
        <v>130</v>
      </c>
      <c r="C382" s="37">
        <v>4074</v>
      </c>
    </row>
    <row r="383" spans="1:3">
      <c r="A383" s="11" t="s">
        <v>135</v>
      </c>
      <c r="B383" s="11" t="s">
        <v>130</v>
      </c>
      <c r="C383" s="37">
        <v>2573</v>
      </c>
    </row>
    <row r="384" spans="1:3">
      <c r="A384" s="11" t="s">
        <v>116</v>
      </c>
      <c r="B384" s="11" t="s">
        <v>132</v>
      </c>
      <c r="C384" s="37">
        <v>13974</v>
      </c>
    </row>
    <row r="385" spans="1:3">
      <c r="A385" s="11" t="s">
        <v>117</v>
      </c>
      <c r="B385" s="11" t="s">
        <v>132</v>
      </c>
      <c r="C385" s="37">
        <v>33294</v>
      </c>
    </row>
    <row r="386" spans="1:3">
      <c r="A386" s="11" t="s">
        <v>125</v>
      </c>
      <c r="B386" s="11" t="s">
        <v>132</v>
      </c>
      <c r="C386" s="37">
        <v>6007</v>
      </c>
    </row>
    <row r="387" spans="1:3">
      <c r="A387" s="11" t="s">
        <v>134</v>
      </c>
      <c r="B387" s="11" t="s">
        <v>132</v>
      </c>
      <c r="C387" s="37">
        <v>4074</v>
      </c>
    </row>
    <row r="388" spans="1:3">
      <c r="A388" s="11" t="s">
        <v>135</v>
      </c>
      <c r="B388" s="11" t="s">
        <v>132</v>
      </c>
      <c r="C388" s="37">
        <v>12866</v>
      </c>
    </row>
    <row r="389" spans="1:3">
      <c r="A389" s="11" t="s">
        <v>35</v>
      </c>
      <c r="B389" s="11" t="s">
        <v>11</v>
      </c>
      <c r="C389" s="32">
        <v>0</v>
      </c>
    </row>
    <row r="390" spans="1:3">
      <c r="A390" s="11" t="s">
        <v>36</v>
      </c>
      <c r="B390" s="11" t="s">
        <v>11</v>
      </c>
      <c r="C390" s="11">
        <v>200000</v>
      </c>
    </row>
    <row r="391" spans="1:3">
      <c r="A391" s="11" t="s">
        <v>37</v>
      </c>
      <c r="B391" s="11" t="s">
        <v>11</v>
      </c>
      <c r="C391" s="11">
        <v>200000</v>
      </c>
    </row>
    <row r="392" spans="1:3">
      <c r="A392" s="11" t="s">
        <v>38</v>
      </c>
      <c r="B392" s="11" t="s">
        <v>11</v>
      </c>
      <c r="C392" s="11">
        <v>200000</v>
      </c>
    </row>
    <row r="393" spans="1:3">
      <c r="A393" s="11" t="s">
        <v>39</v>
      </c>
      <c r="B393" s="11" t="s">
        <v>11</v>
      </c>
      <c r="C393" s="11">
        <v>200000</v>
      </c>
    </row>
    <row r="394" spans="1:3">
      <c r="A394" s="11" t="s">
        <v>40</v>
      </c>
      <c r="B394" s="11" t="s">
        <v>11</v>
      </c>
      <c r="C394" s="11">
        <v>200000</v>
      </c>
    </row>
    <row r="395" spans="1:3">
      <c r="A395" s="11" t="s">
        <v>41</v>
      </c>
      <c r="B395" s="11" t="s">
        <v>11</v>
      </c>
      <c r="C395" s="32">
        <v>0</v>
      </c>
    </row>
    <row r="396" spans="1:3">
      <c r="A396" s="11" t="s">
        <v>42</v>
      </c>
      <c r="B396" s="11" t="s">
        <v>11</v>
      </c>
      <c r="C396" s="11">
        <v>200000</v>
      </c>
    </row>
    <row r="397" spans="1:3">
      <c r="A397" s="11" t="s">
        <v>43</v>
      </c>
      <c r="B397" s="11" t="s">
        <v>11</v>
      </c>
      <c r="C397" s="11">
        <v>200000</v>
      </c>
    </row>
    <row r="398" spans="1:3">
      <c r="A398" s="11" t="s">
        <v>44</v>
      </c>
      <c r="B398" s="11" t="s">
        <v>11</v>
      </c>
      <c r="C398" s="11">
        <v>200000</v>
      </c>
    </row>
    <row r="399" spans="1:3">
      <c r="A399" s="11" t="s">
        <v>45</v>
      </c>
      <c r="B399" s="11" t="s">
        <v>11</v>
      </c>
      <c r="C399" s="11">
        <v>200000</v>
      </c>
    </row>
    <row r="400" spans="1:3">
      <c r="A400" s="11" t="s">
        <v>46</v>
      </c>
      <c r="B400" s="11" t="s">
        <v>11</v>
      </c>
      <c r="C400" s="11">
        <v>200000</v>
      </c>
    </row>
    <row r="401" spans="1:3">
      <c r="A401" s="11" t="s">
        <v>47</v>
      </c>
      <c r="B401" s="11" t="s">
        <v>11</v>
      </c>
      <c r="C401" s="11">
        <v>200000</v>
      </c>
    </row>
    <row r="402" spans="1:3">
      <c r="A402" s="11" t="s">
        <v>48</v>
      </c>
      <c r="B402" s="11" t="s">
        <v>11</v>
      </c>
      <c r="C402" s="11">
        <v>200000</v>
      </c>
    </row>
    <row r="403" spans="1:3">
      <c r="A403" s="11" t="s">
        <v>49</v>
      </c>
      <c r="B403" s="11" t="s">
        <v>11</v>
      </c>
      <c r="C403" s="11">
        <v>200000</v>
      </c>
    </row>
    <row r="404" spans="1:3">
      <c r="A404" s="11" t="s">
        <v>50</v>
      </c>
      <c r="B404" s="11" t="s">
        <v>11</v>
      </c>
      <c r="C404" s="11">
        <v>200000</v>
      </c>
    </row>
    <row r="405" spans="1:3">
      <c r="A405" s="11" t="s">
        <v>51</v>
      </c>
      <c r="B405" s="11" t="s">
        <v>11</v>
      </c>
      <c r="C405" s="11">
        <v>200000</v>
      </c>
    </row>
    <row r="406" spans="1:3">
      <c r="A406" s="11" t="s">
        <v>52</v>
      </c>
      <c r="B406" s="11" t="s">
        <v>11</v>
      </c>
      <c r="C406" s="11">
        <v>200000</v>
      </c>
    </row>
    <row r="407" spans="1:3">
      <c r="A407" s="11" t="s">
        <v>53</v>
      </c>
      <c r="B407" s="11" t="s">
        <v>11</v>
      </c>
      <c r="C407" s="11">
        <v>200000</v>
      </c>
    </row>
    <row r="408" spans="1:3">
      <c r="A408" s="11" t="s">
        <v>54</v>
      </c>
      <c r="B408" s="11" t="s">
        <v>11</v>
      </c>
      <c r="C408" s="11">
        <v>200000</v>
      </c>
    </row>
    <row r="409" spans="1:3">
      <c r="A409" s="11" t="s">
        <v>55</v>
      </c>
      <c r="B409" s="11" t="s">
        <v>11</v>
      </c>
      <c r="C409" s="11">
        <v>200000</v>
      </c>
    </row>
    <row r="410" spans="1:3">
      <c r="A410" s="11" t="s">
        <v>56</v>
      </c>
      <c r="B410" s="11" t="s">
        <v>11</v>
      </c>
      <c r="C410" s="11">
        <v>200000</v>
      </c>
    </row>
    <row r="411" spans="1:3">
      <c r="A411" s="11" t="s">
        <v>57</v>
      </c>
      <c r="B411" s="11" t="s">
        <v>11</v>
      </c>
      <c r="C411" s="11">
        <v>200000</v>
      </c>
    </row>
    <row r="412" spans="1:3">
      <c r="A412" s="11" t="s">
        <v>65</v>
      </c>
      <c r="B412" s="11" t="s">
        <v>11</v>
      </c>
      <c r="C412" s="11">
        <v>200000</v>
      </c>
    </row>
    <row r="413" spans="1:3">
      <c r="A413" s="11" t="s">
        <v>66</v>
      </c>
      <c r="B413" s="11" t="s">
        <v>11</v>
      </c>
      <c r="C413" s="11">
        <v>200000</v>
      </c>
    </row>
    <row r="414" spans="1:3">
      <c r="A414" s="11" t="s">
        <v>67</v>
      </c>
      <c r="B414" s="11" t="s">
        <v>11</v>
      </c>
      <c r="C414" s="11">
        <v>200000</v>
      </c>
    </row>
    <row r="415" spans="1:3">
      <c r="A415" s="11" t="s">
        <v>68</v>
      </c>
      <c r="B415" s="11" t="s">
        <v>11</v>
      </c>
      <c r="C415" s="11">
        <v>200000</v>
      </c>
    </row>
    <row r="416" spans="1:3">
      <c r="A416" s="11" t="s">
        <v>69</v>
      </c>
      <c r="B416" s="11" t="s">
        <v>11</v>
      </c>
      <c r="C416" s="11">
        <v>200000</v>
      </c>
    </row>
    <row r="417" spans="1:3">
      <c r="A417" s="11" t="s">
        <v>58</v>
      </c>
      <c r="B417" s="11" t="s">
        <v>11</v>
      </c>
      <c r="C417" s="11">
        <v>200000</v>
      </c>
    </row>
    <row r="418" spans="1:3">
      <c r="A418" s="11" t="s">
        <v>59</v>
      </c>
      <c r="B418" s="11" t="s">
        <v>11</v>
      </c>
      <c r="C418" s="11">
        <v>200000</v>
      </c>
    </row>
    <row r="419" spans="1:3">
      <c r="A419" s="11" t="s">
        <v>60</v>
      </c>
      <c r="B419" s="11" t="s">
        <v>11</v>
      </c>
      <c r="C419" s="11">
        <v>200000</v>
      </c>
    </row>
    <row r="420" spans="1:3">
      <c r="A420" s="11" t="s">
        <v>61</v>
      </c>
      <c r="B420" s="11" t="s">
        <v>11</v>
      </c>
      <c r="C420" s="11">
        <v>200000</v>
      </c>
    </row>
    <row r="421" spans="1:3">
      <c r="A421" s="11" t="s">
        <v>62</v>
      </c>
      <c r="B421" s="11" t="s">
        <v>11</v>
      </c>
      <c r="C421" s="11">
        <v>200000</v>
      </c>
    </row>
    <row r="422" spans="1:3">
      <c r="A422" s="11" t="s">
        <v>63</v>
      </c>
      <c r="B422" s="11" t="s">
        <v>11</v>
      </c>
      <c r="C422" s="11">
        <v>200000</v>
      </c>
    </row>
    <row r="423" spans="1:3">
      <c r="A423" s="11" t="s">
        <v>64</v>
      </c>
      <c r="B423" s="11" t="s">
        <v>11</v>
      </c>
      <c r="C423" s="11">
        <v>200000</v>
      </c>
    </row>
    <row r="424" spans="1:3">
      <c r="A424" s="11" t="s">
        <v>35</v>
      </c>
      <c r="B424" s="11" t="s">
        <v>147</v>
      </c>
      <c r="C424" s="11">
        <v>200000</v>
      </c>
    </row>
    <row r="425" spans="1:3">
      <c r="A425" s="11" t="s">
        <v>36</v>
      </c>
      <c r="B425" s="11" t="s">
        <v>147</v>
      </c>
      <c r="C425" s="11">
        <v>200000</v>
      </c>
    </row>
    <row r="426" spans="1:3">
      <c r="A426" s="11" t="s">
        <v>37</v>
      </c>
      <c r="B426" s="11" t="s">
        <v>147</v>
      </c>
      <c r="C426" s="11">
        <v>200000</v>
      </c>
    </row>
    <row r="427" spans="1:3">
      <c r="A427" s="11" t="s">
        <v>38</v>
      </c>
      <c r="B427" s="11" t="s">
        <v>147</v>
      </c>
      <c r="C427" s="11">
        <v>200000</v>
      </c>
    </row>
    <row r="428" spans="1:3">
      <c r="A428" s="11" t="s">
        <v>39</v>
      </c>
      <c r="B428" s="11" t="s">
        <v>147</v>
      </c>
      <c r="C428" s="11">
        <v>200000</v>
      </c>
    </row>
    <row r="429" spans="1:3">
      <c r="A429" s="11" t="s">
        <v>40</v>
      </c>
      <c r="B429" s="11" t="s">
        <v>147</v>
      </c>
      <c r="C429" s="11">
        <v>200000</v>
      </c>
    </row>
    <row r="430" spans="1:3">
      <c r="A430" s="11" t="s">
        <v>41</v>
      </c>
      <c r="B430" s="11" t="s">
        <v>147</v>
      </c>
      <c r="C430" s="11">
        <v>200000</v>
      </c>
    </row>
    <row r="431" spans="1:3">
      <c r="A431" s="11" t="s">
        <v>42</v>
      </c>
      <c r="B431" s="11" t="s">
        <v>147</v>
      </c>
      <c r="C431" s="11">
        <v>200000</v>
      </c>
    </row>
    <row r="432" spans="1:3">
      <c r="A432" s="11" t="s">
        <v>43</v>
      </c>
      <c r="B432" s="11" t="s">
        <v>147</v>
      </c>
      <c r="C432" s="11">
        <v>200000</v>
      </c>
    </row>
    <row r="433" spans="1:3">
      <c r="A433" s="11" t="s">
        <v>44</v>
      </c>
      <c r="B433" s="11" t="s">
        <v>147</v>
      </c>
      <c r="C433" s="11">
        <v>200000</v>
      </c>
    </row>
    <row r="434" spans="1:3">
      <c r="A434" s="11" t="s">
        <v>45</v>
      </c>
      <c r="B434" s="11" t="s">
        <v>147</v>
      </c>
      <c r="C434" s="11">
        <v>200000</v>
      </c>
    </row>
    <row r="435" spans="1:3">
      <c r="A435" s="11" t="s">
        <v>46</v>
      </c>
      <c r="B435" s="11" t="s">
        <v>147</v>
      </c>
      <c r="C435" s="11">
        <v>200000</v>
      </c>
    </row>
    <row r="436" spans="1:3">
      <c r="A436" s="11" t="s">
        <v>47</v>
      </c>
      <c r="B436" s="11" t="s">
        <v>147</v>
      </c>
      <c r="C436" s="11">
        <v>200000</v>
      </c>
    </row>
    <row r="437" spans="1:3">
      <c r="A437" s="11" t="s">
        <v>48</v>
      </c>
      <c r="B437" s="11" t="s">
        <v>147</v>
      </c>
      <c r="C437" s="11">
        <v>200000</v>
      </c>
    </row>
    <row r="438" spans="1:3">
      <c r="A438" s="11" t="s">
        <v>49</v>
      </c>
      <c r="B438" s="11" t="s">
        <v>147</v>
      </c>
      <c r="C438" s="11">
        <v>200000</v>
      </c>
    </row>
    <row r="439" spans="1:3">
      <c r="A439" s="11" t="s">
        <v>50</v>
      </c>
      <c r="B439" s="11" t="s">
        <v>147</v>
      </c>
      <c r="C439" s="11">
        <v>200000</v>
      </c>
    </row>
    <row r="440" spans="1:3">
      <c r="A440" s="11" t="s">
        <v>51</v>
      </c>
      <c r="B440" s="11" t="s">
        <v>147</v>
      </c>
      <c r="C440" s="11">
        <v>200000</v>
      </c>
    </row>
    <row r="441" spans="1:3">
      <c r="A441" s="11" t="s">
        <v>52</v>
      </c>
      <c r="B441" s="11" t="s">
        <v>147</v>
      </c>
      <c r="C441" s="11">
        <v>200000</v>
      </c>
    </row>
    <row r="442" spans="1:3">
      <c r="A442" s="11" t="s">
        <v>53</v>
      </c>
      <c r="B442" s="11" t="s">
        <v>147</v>
      </c>
      <c r="C442" s="11">
        <v>200000</v>
      </c>
    </row>
    <row r="443" spans="1:3">
      <c r="A443" s="11" t="s">
        <v>54</v>
      </c>
      <c r="B443" s="11" t="s">
        <v>147</v>
      </c>
      <c r="C443" s="11">
        <v>200000</v>
      </c>
    </row>
    <row r="444" spans="1:3">
      <c r="A444" s="11" t="s">
        <v>55</v>
      </c>
      <c r="B444" s="11" t="s">
        <v>147</v>
      </c>
      <c r="C444" s="11">
        <v>200000</v>
      </c>
    </row>
    <row r="445" spans="1:3">
      <c r="A445" s="11" t="s">
        <v>56</v>
      </c>
      <c r="B445" s="11" t="s">
        <v>147</v>
      </c>
      <c r="C445" s="11">
        <v>200000</v>
      </c>
    </row>
    <row r="446" spans="1:3">
      <c r="A446" s="11" t="s">
        <v>57</v>
      </c>
      <c r="B446" s="11" t="s">
        <v>147</v>
      </c>
      <c r="C446" s="11">
        <v>200000</v>
      </c>
    </row>
    <row r="447" spans="1:3">
      <c r="A447" s="11" t="s">
        <v>65</v>
      </c>
      <c r="B447" s="11" t="s">
        <v>147</v>
      </c>
      <c r="C447" s="11">
        <v>200000</v>
      </c>
    </row>
    <row r="448" spans="1:3">
      <c r="A448" s="11" t="s">
        <v>66</v>
      </c>
      <c r="B448" s="11" t="s">
        <v>147</v>
      </c>
      <c r="C448" s="11">
        <v>200000</v>
      </c>
    </row>
    <row r="449" spans="1:3">
      <c r="A449" s="11" t="s">
        <v>67</v>
      </c>
      <c r="B449" s="11" t="s">
        <v>147</v>
      </c>
      <c r="C449" s="11">
        <v>200000</v>
      </c>
    </row>
    <row r="450" spans="1:3">
      <c r="A450" s="11" t="s">
        <v>68</v>
      </c>
      <c r="B450" s="11" t="s">
        <v>147</v>
      </c>
      <c r="C450" s="11">
        <v>200000</v>
      </c>
    </row>
    <row r="451" spans="1:3">
      <c r="A451" s="11" t="s">
        <v>69</v>
      </c>
      <c r="B451" s="11" t="s">
        <v>147</v>
      </c>
      <c r="C451" s="11">
        <v>200000</v>
      </c>
    </row>
    <row r="452" spans="1:3">
      <c r="A452" s="11" t="s">
        <v>58</v>
      </c>
      <c r="B452" s="11" t="s">
        <v>147</v>
      </c>
      <c r="C452" s="11">
        <v>200000</v>
      </c>
    </row>
    <row r="453" spans="1:3">
      <c r="A453" s="11" t="s">
        <v>59</v>
      </c>
      <c r="B453" s="11" t="s">
        <v>147</v>
      </c>
      <c r="C453" s="11">
        <v>200000</v>
      </c>
    </row>
    <row r="454" spans="1:3">
      <c r="A454" s="11" t="s">
        <v>60</v>
      </c>
      <c r="B454" s="11" t="s">
        <v>147</v>
      </c>
      <c r="C454" s="11">
        <v>200000</v>
      </c>
    </row>
    <row r="455" spans="1:3">
      <c r="A455" s="11" t="s">
        <v>61</v>
      </c>
      <c r="B455" s="11" t="s">
        <v>147</v>
      </c>
      <c r="C455" s="11">
        <v>200000</v>
      </c>
    </row>
    <row r="456" spans="1:3">
      <c r="A456" s="11" t="s">
        <v>62</v>
      </c>
      <c r="B456" s="11" t="s">
        <v>147</v>
      </c>
      <c r="C456" s="11">
        <v>200000</v>
      </c>
    </row>
    <row r="457" spans="1:3">
      <c r="A457" s="11" t="s">
        <v>63</v>
      </c>
      <c r="B457" s="11" t="s">
        <v>147</v>
      </c>
      <c r="C457" s="11">
        <v>200000</v>
      </c>
    </row>
    <row r="458" spans="1:3">
      <c r="A458" s="11" t="s">
        <v>64</v>
      </c>
      <c r="B458" s="11" t="s">
        <v>147</v>
      </c>
      <c r="C458" s="11">
        <v>200000</v>
      </c>
    </row>
    <row r="459" spans="1:3">
      <c r="A459" s="11" t="s">
        <v>35</v>
      </c>
      <c r="B459" s="11" t="s">
        <v>148</v>
      </c>
      <c r="C459" s="11">
        <v>200000</v>
      </c>
    </row>
    <row r="460" spans="1:3">
      <c r="A460" s="11" t="s">
        <v>36</v>
      </c>
      <c r="B460" s="11" t="s">
        <v>148</v>
      </c>
      <c r="C460" s="11">
        <v>200000</v>
      </c>
    </row>
    <row r="461" spans="1:3">
      <c r="A461" s="11" t="s">
        <v>37</v>
      </c>
      <c r="B461" s="11" t="s">
        <v>148</v>
      </c>
      <c r="C461" s="11">
        <v>200000</v>
      </c>
    </row>
    <row r="462" spans="1:3">
      <c r="A462" s="11" t="s">
        <v>38</v>
      </c>
      <c r="B462" s="11" t="s">
        <v>148</v>
      </c>
      <c r="C462" s="11">
        <v>200000</v>
      </c>
    </row>
    <row r="463" spans="1:3">
      <c r="A463" s="11" t="s">
        <v>39</v>
      </c>
      <c r="B463" s="11" t="s">
        <v>148</v>
      </c>
      <c r="C463" s="11">
        <v>200000</v>
      </c>
    </row>
    <row r="464" spans="1:3">
      <c r="A464" s="11" t="s">
        <v>40</v>
      </c>
      <c r="B464" s="11" t="s">
        <v>148</v>
      </c>
      <c r="C464" s="11">
        <v>200000</v>
      </c>
    </row>
    <row r="465" spans="1:3">
      <c r="A465" s="11" t="s">
        <v>41</v>
      </c>
      <c r="B465" s="11" t="s">
        <v>148</v>
      </c>
      <c r="C465" s="11">
        <v>200000</v>
      </c>
    </row>
    <row r="466" spans="1:3">
      <c r="A466" s="11" t="s">
        <v>42</v>
      </c>
      <c r="B466" s="11" t="s">
        <v>148</v>
      </c>
      <c r="C466" s="11">
        <v>200000</v>
      </c>
    </row>
    <row r="467" spans="1:3">
      <c r="A467" s="11" t="s">
        <v>43</v>
      </c>
      <c r="B467" s="11" t="s">
        <v>148</v>
      </c>
      <c r="C467" s="11">
        <v>200000</v>
      </c>
    </row>
    <row r="468" spans="1:3">
      <c r="A468" s="11" t="s">
        <v>44</v>
      </c>
      <c r="B468" s="11" t="s">
        <v>148</v>
      </c>
      <c r="C468" s="11">
        <v>200000</v>
      </c>
    </row>
    <row r="469" spans="1:3">
      <c r="A469" s="11" t="s">
        <v>45</v>
      </c>
      <c r="B469" s="11" t="s">
        <v>148</v>
      </c>
      <c r="C469" s="11">
        <v>200000</v>
      </c>
    </row>
    <row r="470" spans="1:3">
      <c r="A470" s="11" t="s">
        <v>46</v>
      </c>
      <c r="B470" s="11" t="s">
        <v>148</v>
      </c>
      <c r="C470" s="11">
        <v>200000</v>
      </c>
    </row>
    <row r="471" spans="1:3">
      <c r="A471" s="11" t="s">
        <v>47</v>
      </c>
      <c r="B471" s="11" t="s">
        <v>148</v>
      </c>
      <c r="C471" s="11">
        <v>200000</v>
      </c>
    </row>
    <row r="472" spans="1:3">
      <c r="A472" s="11" t="s">
        <v>48</v>
      </c>
      <c r="B472" s="11" t="s">
        <v>148</v>
      </c>
      <c r="C472" s="11">
        <v>200000</v>
      </c>
    </row>
    <row r="473" spans="1:3">
      <c r="A473" s="11" t="s">
        <v>49</v>
      </c>
      <c r="B473" s="11" t="s">
        <v>148</v>
      </c>
      <c r="C473" s="11">
        <v>200000</v>
      </c>
    </row>
    <row r="474" spans="1:3">
      <c r="A474" s="11" t="s">
        <v>50</v>
      </c>
      <c r="B474" s="11" t="s">
        <v>148</v>
      </c>
      <c r="C474" s="11">
        <v>200000</v>
      </c>
    </row>
    <row r="475" spans="1:3">
      <c r="A475" s="11" t="s">
        <v>51</v>
      </c>
      <c r="B475" s="11" t="s">
        <v>148</v>
      </c>
      <c r="C475" s="11">
        <v>200000</v>
      </c>
    </row>
    <row r="476" spans="1:3">
      <c r="A476" s="11" t="s">
        <v>52</v>
      </c>
      <c r="B476" s="11" t="s">
        <v>148</v>
      </c>
      <c r="C476" s="11">
        <v>200000</v>
      </c>
    </row>
    <row r="477" spans="1:3">
      <c r="A477" s="11" t="s">
        <v>53</v>
      </c>
      <c r="B477" s="11" t="s">
        <v>148</v>
      </c>
      <c r="C477" s="11">
        <v>200000</v>
      </c>
    </row>
    <row r="478" spans="1:3">
      <c r="A478" s="11" t="s">
        <v>54</v>
      </c>
      <c r="B478" s="11" t="s">
        <v>148</v>
      </c>
      <c r="C478" s="11">
        <v>200000</v>
      </c>
    </row>
    <row r="479" spans="1:3">
      <c r="A479" s="11" t="s">
        <v>55</v>
      </c>
      <c r="B479" s="11" t="s">
        <v>148</v>
      </c>
      <c r="C479" s="11">
        <v>200000</v>
      </c>
    </row>
    <row r="480" spans="1:3">
      <c r="A480" s="11" t="s">
        <v>56</v>
      </c>
      <c r="B480" s="11" t="s">
        <v>148</v>
      </c>
      <c r="C480" s="11">
        <v>200000</v>
      </c>
    </row>
    <row r="481" spans="1:3">
      <c r="A481" s="11" t="s">
        <v>57</v>
      </c>
      <c r="B481" s="11" t="s">
        <v>148</v>
      </c>
      <c r="C481" s="11">
        <v>200000</v>
      </c>
    </row>
    <row r="482" spans="1:3">
      <c r="A482" s="11" t="s">
        <v>65</v>
      </c>
      <c r="B482" s="11" t="s">
        <v>148</v>
      </c>
      <c r="C482" s="11">
        <v>200000</v>
      </c>
    </row>
    <row r="483" spans="1:3">
      <c r="A483" s="11" t="s">
        <v>66</v>
      </c>
      <c r="B483" s="11" t="s">
        <v>148</v>
      </c>
      <c r="C483" s="11">
        <v>200000</v>
      </c>
    </row>
    <row r="484" spans="1:3">
      <c r="A484" s="11" t="s">
        <v>67</v>
      </c>
      <c r="B484" s="11" t="s">
        <v>148</v>
      </c>
      <c r="C484" s="11">
        <v>200000</v>
      </c>
    </row>
    <row r="485" spans="1:3">
      <c r="A485" s="11" t="s">
        <v>68</v>
      </c>
      <c r="B485" s="11" t="s">
        <v>148</v>
      </c>
      <c r="C485" s="11">
        <v>200000</v>
      </c>
    </row>
    <row r="486" spans="1:3">
      <c r="A486" s="11" t="s">
        <v>69</v>
      </c>
      <c r="B486" s="11" t="s">
        <v>148</v>
      </c>
      <c r="C486" s="11">
        <v>200000</v>
      </c>
    </row>
    <row r="487" spans="1:3">
      <c r="A487" s="11" t="s">
        <v>58</v>
      </c>
      <c r="B487" s="11" t="s">
        <v>148</v>
      </c>
      <c r="C487" s="11">
        <v>200000</v>
      </c>
    </row>
    <row r="488" spans="1:3">
      <c r="A488" s="11" t="s">
        <v>59</v>
      </c>
      <c r="B488" s="11" t="s">
        <v>148</v>
      </c>
      <c r="C488" s="11">
        <v>200000</v>
      </c>
    </row>
    <row r="489" spans="1:3">
      <c r="A489" s="11" t="s">
        <v>60</v>
      </c>
      <c r="B489" s="11" t="s">
        <v>148</v>
      </c>
      <c r="C489" s="11">
        <v>200000</v>
      </c>
    </row>
    <row r="490" spans="1:3">
      <c r="A490" s="11" t="s">
        <v>61</v>
      </c>
      <c r="B490" s="11" t="s">
        <v>148</v>
      </c>
      <c r="C490" s="11">
        <v>200000</v>
      </c>
    </row>
    <row r="491" spans="1:3">
      <c r="A491" s="11" t="s">
        <v>62</v>
      </c>
      <c r="B491" s="11" t="s">
        <v>148</v>
      </c>
      <c r="C491" s="11">
        <v>200000</v>
      </c>
    </row>
    <row r="492" spans="1:3">
      <c r="A492" s="11" t="s">
        <v>63</v>
      </c>
      <c r="B492" s="11" t="s">
        <v>148</v>
      </c>
      <c r="C492" s="11">
        <v>200000</v>
      </c>
    </row>
    <row r="493" spans="1:3">
      <c r="A493" s="11" t="s">
        <v>64</v>
      </c>
      <c r="B493" s="11" t="s">
        <v>148</v>
      </c>
      <c r="C493" s="11">
        <v>200000</v>
      </c>
    </row>
  </sheetData>
  <autoFilter ref="A1:F423" xr:uid="{F779AD7C-F888-46DA-8D4D-4C89322E9D65}"/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D6" sqref="D6"/>
    </sheetView>
  </sheetViews>
  <sheetFormatPr defaultColWidth="10.81640625" defaultRowHeight="14.5"/>
  <cols>
    <col min="1" max="1" width="20.453125" bestFit="1" customWidth="1"/>
    <col min="2" max="2" width="8.81640625" bestFit="1" customWidth="1"/>
  </cols>
  <sheetData>
    <row r="1" spans="1:2">
      <c r="A1" t="s">
        <v>21</v>
      </c>
    </row>
    <row r="2" spans="1:2">
      <c r="A2" t="s">
        <v>103</v>
      </c>
    </row>
    <row r="3" spans="1:2" ht="29">
      <c r="A3" t="s">
        <v>104</v>
      </c>
      <c r="B3" s="1" t="s">
        <v>105</v>
      </c>
    </row>
    <row r="4" spans="1:2">
      <c r="A4" t="s">
        <v>5</v>
      </c>
      <c r="B4" s="2">
        <v>0.7</v>
      </c>
    </row>
    <row r="5" spans="1:2">
      <c r="A5" t="s">
        <v>139</v>
      </c>
      <c r="B5" s="2">
        <v>0.7</v>
      </c>
    </row>
    <row r="6" spans="1:2">
      <c r="A6" t="s">
        <v>6</v>
      </c>
      <c r="B6" s="2">
        <v>0.7</v>
      </c>
    </row>
    <row r="7" spans="1:2">
      <c r="A7" t="s">
        <v>7</v>
      </c>
      <c r="B7" s="2">
        <v>0.7</v>
      </c>
    </row>
    <row r="8" spans="1:2">
      <c r="A8" t="s">
        <v>8</v>
      </c>
      <c r="B8" s="2">
        <v>1</v>
      </c>
    </row>
    <row r="9" spans="1:2">
      <c r="A9" t="s">
        <v>9</v>
      </c>
      <c r="B9" s="2">
        <v>0.85</v>
      </c>
    </row>
    <row r="10" spans="1:2">
      <c r="A10" t="s">
        <v>140</v>
      </c>
      <c r="B10" s="2">
        <v>0.85</v>
      </c>
    </row>
    <row r="11" spans="1:2">
      <c r="A11" t="s">
        <v>141</v>
      </c>
      <c r="B11" s="2">
        <v>0.85</v>
      </c>
    </row>
    <row r="12" spans="1:2">
      <c r="A12" t="s">
        <v>11</v>
      </c>
      <c r="B12" s="2">
        <v>0.3</v>
      </c>
    </row>
    <row r="13" spans="1:2">
      <c r="A13" t="s">
        <v>13</v>
      </c>
      <c r="B13" s="2">
        <v>1</v>
      </c>
    </row>
    <row r="14" spans="1:2">
      <c r="A14" t="s">
        <v>16</v>
      </c>
      <c r="B14" s="2">
        <v>0.7</v>
      </c>
    </row>
    <row r="15" spans="1:2">
      <c r="A15" t="s">
        <v>137</v>
      </c>
      <c r="B15" s="2">
        <v>0.85</v>
      </c>
    </row>
    <row r="16" spans="1:2">
      <c r="A16" t="s">
        <v>19</v>
      </c>
      <c r="B16" s="2">
        <v>0.85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workbookViewId="0">
      <selection activeCell="A8" sqref="A8"/>
    </sheetView>
  </sheetViews>
  <sheetFormatPr defaultColWidth="10.453125" defaultRowHeight="14.5"/>
  <cols>
    <col min="1" max="1" width="20.453125" bestFit="1" customWidth="1"/>
    <col min="2" max="2" width="21.453125" bestFit="1" customWidth="1"/>
  </cols>
  <sheetData>
    <row r="1" spans="1:2">
      <c r="A1" t="s">
        <v>21</v>
      </c>
    </row>
    <row r="2" spans="1:2">
      <c r="A2" t="s">
        <v>106</v>
      </c>
    </row>
    <row r="3" spans="1:2">
      <c r="A3" t="s">
        <v>107</v>
      </c>
      <c r="B3" t="s">
        <v>108</v>
      </c>
    </row>
    <row r="4" spans="1:2">
      <c r="A4" t="s">
        <v>5</v>
      </c>
      <c r="B4">
        <v>0.8</v>
      </c>
    </row>
    <row r="5" spans="1:2">
      <c r="A5" t="s">
        <v>138</v>
      </c>
      <c r="B5">
        <v>0.8</v>
      </c>
    </row>
    <row r="6" spans="1:2">
      <c r="A6" t="s">
        <v>6</v>
      </c>
      <c r="B6">
        <v>0.75</v>
      </c>
    </row>
    <row r="7" spans="1:2">
      <c r="A7" t="s">
        <v>7</v>
      </c>
      <c r="B7">
        <v>0.8</v>
      </c>
    </row>
    <row r="8" spans="1:2">
      <c r="A8" t="s">
        <v>8</v>
      </c>
      <c r="B8">
        <v>0.85</v>
      </c>
    </row>
    <row r="9" spans="1:2">
      <c r="A9" t="s">
        <v>9</v>
      </c>
      <c r="B9">
        <v>0.85</v>
      </c>
    </row>
    <row r="10" spans="1:2">
      <c r="A10" t="s">
        <v>10</v>
      </c>
      <c r="B10">
        <v>0.85</v>
      </c>
    </row>
    <row r="11" spans="1:2">
      <c r="A11" t="s">
        <v>101</v>
      </c>
      <c r="B11">
        <v>0.85</v>
      </c>
    </row>
    <row r="12" spans="1:2">
      <c r="A12" t="s">
        <v>11</v>
      </c>
      <c r="B12">
        <v>0.75</v>
      </c>
    </row>
    <row r="13" spans="1:2">
      <c r="A13" t="s">
        <v>12</v>
      </c>
      <c r="B13">
        <v>0.33</v>
      </c>
    </row>
    <row r="14" spans="1:2">
      <c r="A14" t="s">
        <v>13</v>
      </c>
      <c r="B14">
        <v>0.8</v>
      </c>
    </row>
    <row r="15" spans="1:2">
      <c r="A15" t="s">
        <v>14</v>
      </c>
      <c r="B15">
        <v>1</v>
      </c>
    </row>
    <row r="16" spans="1:2">
      <c r="A16" t="s">
        <v>15</v>
      </c>
      <c r="B16">
        <v>0</v>
      </c>
    </row>
    <row r="17" spans="1:2">
      <c r="A17" t="s">
        <v>16</v>
      </c>
      <c r="B17">
        <v>0.8</v>
      </c>
    </row>
    <row r="18" spans="1:2">
      <c r="A18" t="s">
        <v>17</v>
      </c>
      <c r="B18">
        <v>0</v>
      </c>
    </row>
    <row r="19" spans="1:2">
      <c r="A19" t="s">
        <v>114</v>
      </c>
      <c r="B19">
        <v>0</v>
      </c>
    </row>
    <row r="20" spans="1:2">
      <c r="A20" t="s">
        <v>115</v>
      </c>
      <c r="B20">
        <v>0</v>
      </c>
    </row>
    <row r="21" spans="1:2">
      <c r="A21" t="s">
        <v>18</v>
      </c>
      <c r="B21">
        <v>0</v>
      </c>
    </row>
    <row r="22" spans="1:2">
      <c r="A22" t="s">
        <v>137</v>
      </c>
      <c r="B22">
        <v>0.8</v>
      </c>
    </row>
    <row r="23" spans="1:2">
      <c r="A23" t="s">
        <v>19</v>
      </c>
      <c r="B23">
        <v>0.95</v>
      </c>
    </row>
  </sheetData>
  <autoFilter ref="A3:B23" xr:uid="{00000000-0001-0000-0600-000000000000}"/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3"/>
  <sheetViews>
    <sheetView workbookViewId="0">
      <selection activeCell="A8" sqref="A8"/>
    </sheetView>
  </sheetViews>
  <sheetFormatPr defaultColWidth="10.453125" defaultRowHeight="14.5"/>
  <cols>
    <col min="1" max="1" width="18.1796875" bestFit="1" customWidth="1"/>
    <col min="2" max="2" width="20.1796875" bestFit="1" customWidth="1"/>
  </cols>
  <sheetData>
    <row r="1" spans="1:2">
      <c r="A1" t="s">
        <v>109</v>
      </c>
    </row>
    <row r="2" spans="1:2">
      <c r="A2" t="s">
        <v>110</v>
      </c>
    </row>
    <row r="3" spans="1:2">
      <c r="A3" t="s">
        <v>2</v>
      </c>
      <c r="B3" t="s">
        <v>111</v>
      </c>
    </row>
    <row r="4" spans="1:2">
      <c r="A4" t="s">
        <v>5</v>
      </c>
      <c r="B4">
        <v>0.10100000000000001</v>
      </c>
    </row>
    <row r="5" spans="1:2">
      <c r="A5" t="s">
        <v>138</v>
      </c>
      <c r="B5">
        <v>1.0100000000000001E-2</v>
      </c>
    </row>
    <row r="6" spans="1:2">
      <c r="A6" t="s">
        <v>6</v>
      </c>
      <c r="B6">
        <v>9.8299999999999998E-2</v>
      </c>
    </row>
    <row r="7" spans="1:2">
      <c r="A7" t="s">
        <v>7</v>
      </c>
      <c r="B7">
        <v>9.8300000000000002E-3</v>
      </c>
    </row>
    <row r="8" spans="1:2">
      <c r="A8" t="s">
        <v>8</v>
      </c>
      <c r="B8">
        <v>5.6100000000000004E-2</v>
      </c>
    </row>
    <row r="9" spans="1:2">
      <c r="A9" t="s">
        <v>9</v>
      </c>
      <c r="B9">
        <v>5.6100000000000004E-2</v>
      </c>
    </row>
    <row r="10" spans="1:2">
      <c r="A10" t="s">
        <v>10</v>
      </c>
      <c r="B10">
        <v>5.6100000000000004E-3</v>
      </c>
    </row>
    <row r="11" spans="1:2">
      <c r="A11" t="s">
        <v>141</v>
      </c>
      <c r="B11">
        <v>7.740000000000001E-2</v>
      </c>
    </row>
    <row r="12" spans="1:2">
      <c r="A12" t="s">
        <v>137</v>
      </c>
      <c r="B12">
        <v>8.8500000000000002E-3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  <row r="18" spans="1:2">
      <c r="A18" t="s">
        <v>16</v>
      </c>
      <c r="B18">
        <v>0</v>
      </c>
    </row>
    <row r="19" spans="1:2">
      <c r="A19" t="s">
        <v>17</v>
      </c>
      <c r="B19">
        <v>0</v>
      </c>
    </row>
    <row r="20" spans="1:2">
      <c r="A20" t="s">
        <v>114</v>
      </c>
      <c r="B20">
        <v>0</v>
      </c>
    </row>
    <row r="21" spans="1:2">
      <c r="A21" t="s">
        <v>115</v>
      </c>
      <c r="B21">
        <v>0</v>
      </c>
    </row>
    <row r="22" spans="1:2">
      <c r="A22" t="s">
        <v>18</v>
      </c>
      <c r="B22">
        <v>0</v>
      </c>
    </row>
    <row r="23" spans="1:2">
      <c r="A23" t="s">
        <v>19</v>
      </c>
      <c r="B23">
        <v>3.6999999999999998E-2</v>
      </c>
    </row>
  </sheetData>
  <autoFilter ref="A3:B23" xr:uid="{00000000-0001-0000-0700-000000000000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23"/>
  <sheetViews>
    <sheetView workbookViewId="0">
      <selection activeCell="F12" sqref="F12"/>
    </sheetView>
  </sheetViews>
  <sheetFormatPr defaultColWidth="10.81640625" defaultRowHeight="14.5"/>
  <cols>
    <col min="1" max="1" width="21" bestFit="1" customWidth="1"/>
    <col min="2" max="2" width="17.1796875" bestFit="1" customWidth="1"/>
  </cols>
  <sheetData>
    <row r="1" spans="1:2">
      <c r="A1" t="s">
        <v>0</v>
      </c>
    </row>
    <row r="2" spans="1:2">
      <c r="A2" t="s">
        <v>112</v>
      </c>
    </row>
    <row r="3" spans="1:2">
      <c r="A3" t="s">
        <v>2</v>
      </c>
      <c r="B3" t="s">
        <v>113</v>
      </c>
    </row>
    <row r="4" spans="1:2">
      <c r="A4" t="s">
        <v>5</v>
      </c>
      <c r="B4">
        <v>40</v>
      </c>
    </row>
    <row r="5" spans="1:2">
      <c r="A5" t="s">
        <v>139</v>
      </c>
      <c r="B5">
        <v>40</v>
      </c>
    </row>
    <row r="6" spans="1:2">
      <c r="A6" t="s">
        <v>6</v>
      </c>
      <c r="B6">
        <v>40</v>
      </c>
    </row>
    <row r="7" spans="1:2">
      <c r="A7" t="s">
        <v>7</v>
      </c>
      <c r="B7">
        <v>40</v>
      </c>
    </row>
    <row r="8" spans="1:2">
      <c r="A8" t="s">
        <v>8</v>
      </c>
      <c r="B8">
        <v>30</v>
      </c>
    </row>
    <row r="9" spans="1:2">
      <c r="A9" t="s">
        <v>9</v>
      </c>
      <c r="B9">
        <v>30</v>
      </c>
    </row>
    <row r="10" spans="1:2">
      <c r="A10" t="s">
        <v>10</v>
      </c>
      <c r="B10">
        <v>30</v>
      </c>
    </row>
    <row r="11" spans="1:2">
      <c r="A11" t="s">
        <v>141</v>
      </c>
      <c r="B11">
        <v>40</v>
      </c>
    </row>
    <row r="12" spans="1:2">
      <c r="A12" t="s">
        <v>11</v>
      </c>
      <c r="B12">
        <v>60</v>
      </c>
    </row>
    <row r="13" spans="1:2">
      <c r="A13" t="s">
        <v>12</v>
      </c>
      <c r="B13">
        <v>80</v>
      </c>
    </row>
    <row r="14" spans="1:2">
      <c r="A14" t="s">
        <v>13</v>
      </c>
      <c r="B14">
        <v>30</v>
      </c>
    </row>
    <row r="15" spans="1:2">
      <c r="A15" t="s">
        <v>14</v>
      </c>
      <c r="B15">
        <v>60</v>
      </c>
    </row>
    <row r="16" spans="1:2">
      <c r="A16" t="s">
        <v>15</v>
      </c>
      <c r="B16">
        <v>50</v>
      </c>
    </row>
    <row r="17" spans="1:2">
      <c r="A17" t="s">
        <v>16</v>
      </c>
      <c r="B17">
        <v>40</v>
      </c>
    </row>
    <row r="18" spans="1:2">
      <c r="A18" t="s">
        <v>17</v>
      </c>
      <c r="B18">
        <v>25</v>
      </c>
    </row>
    <row r="19" spans="1:2">
      <c r="A19" t="s">
        <v>114</v>
      </c>
      <c r="B19">
        <v>25</v>
      </c>
    </row>
    <row r="20" spans="1:2">
      <c r="A20" t="s">
        <v>115</v>
      </c>
      <c r="B20">
        <v>25</v>
      </c>
    </row>
    <row r="21" spans="1:2">
      <c r="A21" t="s">
        <v>18</v>
      </c>
      <c r="B21">
        <v>25</v>
      </c>
    </row>
    <row r="22" spans="1:2">
      <c r="A22" t="s">
        <v>137</v>
      </c>
      <c r="B22">
        <v>40</v>
      </c>
    </row>
    <row r="23" spans="1:2">
      <c r="A23" t="s">
        <v>19</v>
      </c>
      <c r="B23">
        <v>20</v>
      </c>
    </row>
  </sheetData>
  <autoFilter ref="A3:B23" xr:uid="{F485F6EA-43A1-45AD-AE0E-6186EC1FBAD3}"/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F967323C0D5D438811C071A0F9DCC2" ma:contentTypeVersion="9" ma:contentTypeDescription="Opprett et nytt dokument." ma:contentTypeScope="" ma:versionID="390af427c68d91651b27297d409805f1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04a8b543a4d6f9dfc96f99b4b97b7762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7204C7-40B5-4FE8-B1A1-A7F0C63B03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CDE1F9-D70D-404B-AB05-C44B6E2BDE51}">
  <ds:schemaRefs>
    <ds:schemaRef ds:uri="http://schemas.microsoft.com/office/2006/metadata/properties"/>
    <ds:schemaRef ds:uri="http://schemas.microsoft.com/office/infopath/2007/PartnerControls"/>
    <ds:schemaRef ds:uri="d8af0d66-b3db-4c81-87bc-15f9b72a49e2"/>
    <ds:schemaRef ds:uri="c1406b29-91bf-464c-9cd2-26ba5eb06139"/>
  </ds:schemaRefs>
</ds:datastoreItem>
</file>

<file path=customXml/itemProps3.xml><?xml version="1.0" encoding="utf-8"?>
<ds:datastoreItem xmlns:ds="http://schemas.openxmlformats.org/officeDocument/2006/customXml" ds:itemID="{66B39319-07EB-4E9B-925F-012BB5E77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ScaleFactorInitialCap</vt:lpstr>
      <vt:lpstr>RefInitialCap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MaxInstalledCapacity!maxInstalledCap2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2026-05-20T08:38:27Z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